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cheryl/Downloads/2024/2025 /2026/2026 Projections/Q2/"/>
    </mc:Choice>
  </mc:AlternateContent>
  <xr:revisionPtr revIDLastSave="826" documentId="13_ncr:1_{6808C211-9143-5D4D-925C-AC5526EE84EF}" xr6:coauthVersionLast="47" xr6:coauthVersionMax="47" xr10:uidLastSave="{6A060CA1-6061-4C5C-BFCC-430B26EAEE11}"/>
  <bookViews>
    <workbookView xWindow="9820" yWindow="500" windowWidth="16340" windowHeight="13220" firstSheet="1" activeTab="1" xr2:uid="{34DAB5B8-0534-154D-B765-6F9AFE0242E3}"/>
  </bookViews>
  <sheets>
    <sheet name="Q2 Projections" sheetId="2" r:id="rId1"/>
    <sheet name="Q3 Projections" sheetId="5" r:id="rId2"/>
    <sheet name="Q4 Projections" sheetId="6" r:id="rId3"/>
    <sheet name="Options for KPI UT Levels" sheetId="1" r:id="rId4"/>
    <sheet name="Sheet1" sheetId="4" r:id="rId5"/>
    <sheet name="LANDING Calculator" sheetId="3" r:id="rId6"/>
  </sheets>
  <definedNames>
    <definedName name="_xlnm._FilterDatabase" localSheetId="0" hidden="1">'Q2 Projections'!$A$2:$J$34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F14" i="5"/>
  <c r="E14" i="5"/>
  <c r="G18" i="5"/>
  <c r="F18" i="5"/>
  <c r="E18" i="5"/>
  <c r="G15" i="5"/>
  <c r="F15" i="5"/>
  <c r="E15" i="5"/>
  <c r="G6" i="5"/>
  <c r="F6" i="5"/>
  <c r="E6" i="5"/>
  <c r="G11" i="5"/>
  <c r="F11" i="5"/>
  <c r="E11" i="5"/>
  <c r="G9" i="5"/>
  <c r="F9" i="5"/>
  <c r="E9" i="5"/>
  <c r="G7" i="5"/>
  <c r="F7" i="5"/>
  <c r="E7" i="5"/>
  <c r="G12" i="5"/>
  <c r="F12" i="5"/>
  <c r="E12" i="5"/>
  <c r="G4" i="5"/>
  <c r="F4" i="5"/>
  <c r="E4" i="5"/>
  <c r="I39" i="2"/>
  <c r="H39" i="2"/>
  <c r="G39" i="2"/>
  <c r="I38" i="2"/>
  <c r="H38" i="2"/>
  <c r="G38" i="2"/>
  <c r="I37" i="2"/>
  <c r="H37" i="2"/>
  <c r="G37" i="2"/>
  <c r="J18" i="2"/>
  <c r="I18" i="2"/>
  <c r="I17" i="2"/>
  <c r="J17" i="2"/>
  <c r="H17" i="2"/>
  <c r="I16" i="2"/>
  <c r="H16" i="2"/>
  <c r="I13" i="2"/>
  <c r="H13" i="2"/>
  <c r="G13" i="2"/>
  <c r="H4" i="2"/>
  <c r="G4" i="2"/>
  <c r="I10" i="2"/>
  <c r="H10" i="2"/>
  <c r="G10" i="2"/>
  <c r="H6" i="2"/>
  <c r="G6" i="2"/>
  <c r="H34" i="2"/>
  <c r="G34" i="2"/>
  <c r="H33" i="2"/>
  <c r="G33" i="2"/>
  <c r="H9" i="2"/>
  <c r="G9" i="2"/>
  <c r="H5" i="2"/>
  <c r="G5" i="2"/>
  <c r="H24" i="2"/>
  <c r="G24" i="2"/>
  <c r="H23" i="2"/>
  <c r="G23" i="2"/>
</calcChain>
</file>

<file path=xl/sharedStrings.xml><?xml version="1.0" encoding="utf-8"?>
<sst xmlns="http://schemas.openxmlformats.org/spreadsheetml/2006/main" count="351" uniqueCount="213">
  <si>
    <t>Select T Demand Q2 KPI Projections</t>
  </si>
  <si>
    <r>
      <rPr>
        <b/>
        <sz val="16"/>
        <color rgb="FF000000"/>
        <rFont val="Aptos Narrow"/>
        <scheme val="minor"/>
      </rPr>
      <t xml:space="preserve">SQO (Rev) Landing ($K) - </t>
    </r>
    <r>
      <rPr>
        <sz val="12"/>
        <color rgb="FF000000"/>
        <rFont val="Aptos Narrow"/>
        <scheme val="minor"/>
      </rPr>
      <t>use Landing Calculator Sheet</t>
    </r>
  </si>
  <si>
    <t>Event name</t>
  </si>
  <si>
    <t>IPA</t>
  </si>
  <si>
    <t>Brief</t>
  </si>
  <si>
    <t>UT 15</t>
  </si>
  <si>
    <t>UT 17</t>
  </si>
  <si>
    <t>CQ (Q1 26)</t>
  </si>
  <si>
    <t>NQ (Q2 26)</t>
  </si>
  <si>
    <t>NQ+1 (Q3 26)</t>
  </si>
  <si>
    <t>NQ+2 (Q4 26)</t>
  </si>
  <si>
    <t>NQ+3 (Q1 27)</t>
  </si>
  <si>
    <t>Auto_Terraform Virtual Roundtable</t>
  </si>
  <si>
    <t>PAQ0H9MB</t>
  </si>
  <si>
    <t>Automation Platform</t>
  </si>
  <si>
    <t>Infrastructure Automation</t>
  </si>
  <si>
    <t>AI Insights project - virtual event 2 - May</t>
  </si>
  <si>
    <t>JXF0U0MB</t>
  </si>
  <si>
    <t>Data Platform</t>
  </si>
  <si>
    <t>AI Productivity</t>
  </si>
  <si>
    <t>Leading AI Brazil Q2 APR 2026</t>
  </si>
  <si>
    <t>31ZYZ2MB</t>
  </si>
  <si>
    <t>Leading AI LA-ES Q2 MAY 2026</t>
  </si>
  <si>
    <t>XCYY1YMB</t>
  </si>
  <si>
    <t>Data Fabric</t>
  </si>
  <si>
    <t>DevOps Day Atlanta</t>
  </si>
  <si>
    <t>DAKE6VMB</t>
  </si>
  <si>
    <t xml:space="preserve">LATAM | (APR) - AUTOMACION INTELIGENTE 2026 </t>
  </si>
  <si>
    <t>VLLNCPMB</t>
  </si>
  <si>
    <t>Leading AI Brazil Q2 MAY 2026</t>
  </si>
  <si>
    <t>NVO74NMB</t>
  </si>
  <si>
    <t>Leading AI LA-ES Q2 JUN 2026</t>
  </si>
  <si>
    <t>5AFK4OMB</t>
  </si>
  <si>
    <t>Power Modernization Talks - Atlanta</t>
  </si>
  <si>
    <t>G8LQFLMB</t>
  </si>
  <si>
    <t>Power HW</t>
  </si>
  <si>
    <t>AIX/IBMi Market</t>
  </si>
  <si>
    <t>Power Modernization Talks - New York City (was Austin)</t>
  </si>
  <si>
    <t>Z5IPCCMB</t>
  </si>
  <si>
    <t>AI Insights project - virtual event 3 - Jun</t>
  </si>
  <si>
    <t>WKIJF7MB</t>
  </si>
  <si>
    <t>Power Modernization Talks - Washington DC (Cancelled)</t>
  </si>
  <si>
    <t>NTWIYYMB</t>
  </si>
  <si>
    <t>Data Intelligence Summit</t>
  </si>
  <si>
    <t>73J94XMB</t>
  </si>
  <si>
    <t>AI Insights project - virtual event 4 - Aug</t>
  </si>
  <si>
    <t>3JF6VWMB</t>
  </si>
  <si>
    <t>AI Insights project - virtual event 5 - Sept</t>
  </si>
  <si>
    <t>GEO1H7MB</t>
  </si>
  <si>
    <t>AI Insights project - virtual event 6 - Oct</t>
  </si>
  <si>
    <t>ICRKK8MB</t>
  </si>
  <si>
    <t>LATAM | (MAY) - AUTOMACION INTELIGENTE 2026</t>
  </si>
  <si>
    <t>KDB064MB</t>
  </si>
  <si>
    <t>AutoTech</t>
  </si>
  <si>
    <t>LALXB9MB</t>
  </si>
  <si>
    <t>Technology Business Management</t>
  </si>
  <si>
    <t xml:space="preserve">LATAM | (JUN) - AUTOMACION INTELIGENTE 2026 - IT SITIO </t>
  </si>
  <si>
    <t>VRXZQXMB</t>
  </si>
  <si>
    <t>DIO Digital Observability Bootcamp</t>
  </si>
  <si>
    <t>6E7XQCMB</t>
  </si>
  <si>
    <t>B2B Match – Get Together Series SP (April 28)</t>
  </si>
  <si>
    <t>E84O4MMB</t>
  </si>
  <si>
    <t>B2B Match – Get Together Regional BH (April 9)</t>
  </si>
  <si>
    <t>VWL43EMB</t>
  </si>
  <si>
    <t>2Q26 Foundry Virtual Roundtable Select Territory (Hybrid Cloud)</t>
  </si>
  <si>
    <t>Z3164DMB</t>
  </si>
  <si>
    <t>Meet the Boss Virtual Roundtable: Data &amp; AI Q2</t>
  </si>
  <si>
    <t>HHXQ1KMB</t>
  </si>
  <si>
    <t>N7DI12MB</t>
  </si>
  <si>
    <t>2Q26 Foundry Virtual Roundtable Select Territory (Data Platform)</t>
  </si>
  <si>
    <t>49GK46MB</t>
  </si>
  <si>
    <t>2Q26Foundry Virtual Roundtable Select Territory (Automation)</t>
  </si>
  <si>
    <t>4UHOGUMB</t>
  </si>
  <si>
    <t>0APCO4MB</t>
  </si>
  <si>
    <t>ZKAWTQMB</t>
  </si>
  <si>
    <t xml:space="preserve">2Q26 Foundry Virtual Roundtable Select Territory (Automation)
</t>
  </si>
  <si>
    <t>FAJI0BMB</t>
  </si>
  <si>
    <t>AI Insights project - virtual event 1 - Apr</t>
  </si>
  <si>
    <t>4XD8BAMB</t>
  </si>
  <si>
    <t>Leading AI LA-ES Q2 APR 2026</t>
  </si>
  <si>
    <t>BE5JAIMB</t>
  </si>
  <si>
    <t xml:space="preserve">Mexico |A&amp;I and Leaders </t>
  </si>
  <si>
    <t>MBPNGXMB</t>
  </si>
  <si>
    <t xml:space="preserve">Leading AI Brasil - </t>
  </si>
  <si>
    <t>ZXMXVXMB</t>
  </si>
  <si>
    <t xml:space="preserve">Convergencia Digital DevOps Webinar </t>
  </si>
  <si>
    <t xml:space="preserve">2WUXHZMB </t>
  </si>
  <si>
    <t xml:space="preserve">Convergencia Digital Identity Webinar </t>
  </si>
  <si>
    <t xml:space="preserve">AC9Y2EMB </t>
  </si>
  <si>
    <t xml:space="preserve">Convergencia Digital Integration Webinar </t>
  </si>
  <si>
    <t xml:space="preserve">Q00XJFMB </t>
  </si>
  <si>
    <t>Academia Digital Expomanufactura (April)</t>
  </si>
  <si>
    <t>IJ2Y0FMB</t>
  </si>
  <si>
    <t>Academia Digital Expomanufatura (June)</t>
  </si>
  <si>
    <t>IW3EHXMB</t>
  </si>
  <si>
    <t>DIO Digital Integration Bootcamp</t>
  </si>
  <si>
    <t>E7OJ4YMB</t>
  </si>
  <si>
    <t>144.520,83</t>
  </si>
  <si>
    <t>289.041,67</t>
  </si>
  <si>
    <t>433.562,50</t>
  </si>
  <si>
    <t>Academia Digital Expomanufatura (August)</t>
  </si>
  <si>
    <t>Academia Digital Expomanufatura (Fev 2027)</t>
  </si>
  <si>
    <t>Select T Demand Q3 KPI Projections</t>
  </si>
  <si>
    <t>CQ (Q3 26)</t>
  </si>
  <si>
    <t>NQ (Q4 26)</t>
  </si>
  <si>
    <t>NQ+1 (Q1 27)</t>
  </si>
  <si>
    <t>NQ+2 (Q2 27)</t>
  </si>
  <si>
    <t>Foundry Virtual Roundtable Select Territory (Hybrid Cloud) - Flash</t>
  </si>
  <si>
    <t>9I46UHMB</t>
  </si>
  <si>
    <t>Storage HW</t>
  </si>
  <si>
    <t>Storage for Primary Block Market</t>
  </si>
  <si>
    <t>AI Insights Finance</t>
  </si>
  <si>
    <t>Foundry Virtual Roundtable Select Territory (Data Platform)</t>
  </si>
  <si>
    <t>HZ8A4YMB</t>
  </si>
  <si>
    <t>CIO Cerrado</t>
  </si>
  <si>
    <t>CQ0PNFMB</t>
  </si>
  <si>
    <t>Storage for Hybrid Cloud Market</t>
  </si>
  <si>
    <t>Brasil | Executive Summit Neogrid</t>
  </si>
  <si>
    <t>XBGN36MB</t>
  </si>
  <si>
    <t>Virtual Cybersecurity Summit - Implications of AI</t>
  </si>
  <si>
    <t>Y9Y7C9MB</t>
  </si>
  <si>
    <t>DevOps Days Lima</t>
  </si>
  <si>
    <t>XAJA1PMB</t>
  </si>
  <si>
    <t>Foundry Virtual Roundtable Select Territory (Auto) - Vault</t>
  </si>
  <si>
    <t>XV1HEHMB</t>
  </si>
  <si>
    <t>Academia Digital Expomanufactura (September)</t>
  </si>
  <si>
    <t>9LB5VUMB</t>
  </si>
  <si>
    <t>AI Insights Data Leaders</t>
  </si>
  <si>
    <t>Foundry Virtual Roundtable Select Territory (Automation)</t>
  </si>
  <si>
    <t>MJ6PK0MB</t>
  </si>
  <si>
    <t>The Developers Conference Sao Paulo 2026</t>
  </si>
  <si>
    <t>J35CXRMB</t>
  </si>
  <si>
    <t>B2B Match Get Together Series SP (September 24)</t>
  </si>
  <si>
    <t>XIJ6MGMB</t>
  </si>
  <si>
    <t>SMRP Sponsorship</t>
  </si>
  <si>
    <t>N5K2NZMB</t>
  </si>
  <si>
    <t xml:space="preserve">2Q26 Foundry Virtual Roundtable Select Territory Automation - Hashicorp </t>
  </si>
  <si>
    <t xml:space="preserve">The Developers Conference Sao Paulo 2026 </t>
  </si>
  <si>
    <t>2Q26 Foundry Virtual Roundtable Select Territory Automation - Vault</t>
  </si>
  <si>
    <t>Heimr Paddock Lounge</t>
  </si>
  <si>
    <t>HAZNOHMB</t>
  </si>
  <si>
    <t>Storage for Data and AI Market</t>
  </si>
  <si>
    <t xml:space="preserve">LATAM | SET - AUTOMACION INTELIGENTE 2026 - IT SITIO  </t>
  </si>
  <si>
    <t>Select T Demand Q4 KPI Projections</t>
  </si>
  <si>
    <t>AI Insights AI Leaders</t>
  </si>
  <si>
    <t>Canada Globe and Mail Webcast - Bob</t>
  </si>
  <si>
    <t>V2H859MB</t>
  </si>
  <si>
    <t>DevOps Day Bogota</t>
  </si>
  <si>
    <t>NKB4GHMB</t>
  </si>
  <si>
    <t>Canalys Forum North America 2026</t>
  </si>
  <si>
    <t>IWZF9VMB</t>
  </si>
  <si>
    <t>Moved to Eco file</t>
  </si>
  <si>
    <t>Academia Digital Expomanufactura (November)</t>
  </si>
  <si>
    <t>A2PP34MB</t>
  </si>
  <si>
    <t>B2B Match Get Together Series SP (November 17)</t>
  </si>
  <si>
    <t>KXM5CEMB</t>
  </si>
  <si>
    <t>Application Development &amp; Integration</t>
  </si>
  <si>
    <t>Security Threat Management</t>
  </si>
  <si>
    <t>AI/ML Ops</t>
  </si>
  <si>
    <t>Intelligent Operations</t>
  </si>
  <si>
    <t>Application Operations</t>
  </si>
  <si>
    <t>Business Operations</t>
  </si>
  <si>
    <t>Cybersecurity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</si>
  <si>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</si>
  <si>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</si>
  <si>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</si>
  <si>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</si>
  <si>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</si>
  <si>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</si>
  <si>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</si>
  <si>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</si>
  <si>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</si>
  <si>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</si>
  <si>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</si>
  <si>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</si>
  <si>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Strategy &amp; Technology</t>
  </si>
  <si>
    <t>Business Applications</t>
  </si>
  <si>
    <t>Hybrid Cloud &amp; Data</t>
  </si>
  <si>
    <t>Strategy &amp; Transformation</t>
  </si>
  <si>
    <t>Storage Networking Market</t>
  </si>
  <si>
    <t>Storage Operations / Services Market</t>
  </si>
  <si>
    <t>Storage Tape Market</t>
  </si>
  <si>
    <t>Storage for Data Resiliency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</si>
  <si>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</si>
  <si>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</si>
  <si>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</si>
  <si>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</si>
  <si>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</si>
  <si>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</si>
  <si>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</si>
  <si>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</si>
  <si>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</si>
  <si>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</si>
  <si>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</si>
  <si>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</si>
  <si>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</si>
  <si>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</si>
  <si>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</si>
  <si>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</si>
  <si>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</si>
  <si>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</si>
  <si>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</si>
  <si>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</si>
  <si>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</si>
  <si>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</si>
  <si>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</si>
  <si>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>CQ</t>
  </si>
  <si>
    <t xml:space="preserve">NQ </t>
  </si>
  <si>
    <t>NQ+1</t>
  </si>
  <si>
    <t>NQ+2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</si>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</sst>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15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b/>
      <sz val="16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6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0" fontId="0" fillId="0" borderId="2" xfId="0" applyFill="1" applyBorder="1"/>
    <xf numFmtId="0" fontId="8" fillId="0" borderId="2" xfId="0" applyFont="1" applyFill="1" applyBorder="1"/>
    <xf numFmtId="0" fontId="9" fillId="0" borderId="2" xfId="0" applyFont="1" applyBorder="1"/>
    <xf numFmtId="164" fontId="0" fillId="0" borderId="2" xfId="0" applyNumberFormat="1" applyBorder="1"/>
    <xf numFmtId="164" fontId="0" fillId="0" borderId="2" xfId="0" applyNumberFormat="1" applyFill="1" applyBorder="1"/>
    <xf numFmtId="0" fontId="0" fillId="6" borderId="2" xfId="0" applyFill="1" applyBorder="1"/>
    <xf numFmtId="0" fontId="0" fillId="6" borderId="2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13" fillId="6" borderId="0" xfId="0" applyFont="1" applyFill="1" applyBorder="1" applyAlignment="1"/>
    <xf numFmtId="0" fontId="0" fillId="5" borderId="2" xfId="0" applyFill="1" applyBorder="1"/>
    <xf numFmtId="4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3" fontId="0" fillId="0" borderId="2" xfId="0" applyNumberFormat="1" applyBorder="1"/>
    <xf numFmtId="0" fontId="0" fillId="0" borderId="0" xfId="0" applyFill="1"/>
    <xf numFmtId="0" fontId="13" fillId="0" borderId="0" xfId="0" applyFont="1" applyFill="1" applyBorder="1" applyAlignment="1"/>
    <xf numFmtId="165" fontId="0" fillId="0" borderId="2" xfId="0" applyNumberForma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3" fontId="0" fillId="0" borderId="2" xfId="0" applyNumberFormat="1" applyFill="1" applyBorder="1"/>
    <xf numFmtId="0" fontId="0" fillId="0" borderId="2" xfId="0" applyFill="1" applyBorder="1" applyAlignment="1">
      <alignment wrapText="1"/>
    </xf>
    <xf numFmtId="0" fontId="5" fillId="3" borderId="2" xfId="0" applyFont="1" applyFill="1" applyBorder="1" applyAlignment="1"/>
    <xf numFmtId="0" fontId="4" fillId="0" borderId="2" xfId="0" applyFont="1" applyBorder="1" applyAlignment="1"/>
    <xf numFmtId="0" fontId="0" fillId="0" borderId="2" xfId="0" applyFill="1" applyBorder="1" applyAlignment="1"/>
    <xf numFmtId="0" fontId="9" fillId="0" borderId="2" xfId="0" applyFont="1" applyFill="1" applyBorder="1" applyAlignment="1"/>
    <xf numFmtId="0" fontId="0" fillId="0" borderId="0" xfId="0" applyAlignment="1"/>
    <xf numFmtId="0" fontId="0" fillId="0" borderId="2" xfId="0" applyBorder="1" applyAlignment="1">
      <alignment wrapText="1"/>
    </xf>
    <xf numFmtId="6" fontId="14" fillId="0" borderId="0" xfId="0" applyNumberFormat="1" applyFont="1" applyFill="1" applyBorder="1" applyAlignment="1"/>
    <xf numFmtId="0" fontId="0" fillId="6" borderId="2" xfId="0" applyFill="1" applyBorder="1" applyAlignment="1">
      <alignment wrapText="1"/>
    </xf>
    <xf numFmtId="0" fontId="0" fillId="6" borderId="2" xfId="0" applyFill="1" applyBorder="1" applyAlignment="1"/>
    <xf numFmtId="0" fontId="8" fillId="6" borderId="2" xfId="0" applyFont="1" applyFill="1" applyBorder="1" applyAlignment="1"/>
    <xf numFmtId="0" fontId="9" fillId="0" borderId="0" xfId="0" applyFont="1"/>
    <xf numFmtId="0" fontId="5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2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J44"/>
  <sheetViews>
    <sheetView workbookViewId="0">
      <pane ySplit="1" topLeftCell="A2" activePane="bottomLeft" state="frozen"/>
      <selection pane="bottomLeft" activeCell="G21" sqref="G21:I21"/>
    </sheetView>
  </sheetViews>
  <sheetFormatPr defaultColWidth="8.875" defaultRowHeight="15.75" customHeight="1"/>
  <cols>
    <col min="1" max="1" width="55.375" style="5" customWidth="1"/>
    <col min="2" max="2" width="19.875" style="5" customWidth="1"/>
    <col min="3" max="3" width="19.375" style="5" customWidth="1"/>
    <col min="4" max="5" width="24.5" style="5" customWidth="1"/>
    <col min="6" max="10" width="18.125" style="5" customWidth="1"/>
    <col min="11" max="16384" width="8.875" style="5"/>
  </cols>
  <sheetData>
    <row r="1" spans="1:10" s="6" customFormat="1" ht="21.95" customHeight="1">
      <c r="A1" s="6" t="s">
        <v>0</v>
      </c>
      <c r="F1" s="46" t="s">
        <v>1</v>
      </c>
      <c r="G1" s="47"/>
      <c r="H1" s="47"/>
      <c r="I1" s="47"/>
      <c r="J1" s="48"/>
    </row>
    <row r="2" spans="1:10" s="7" customForma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>
      <c r="A3" s="18" t="s">
        <v>12</v>
      </c>
      <c r="B3" s="22"/>
      <c r="C3" s="5" t="s">
        <v>13</v>
      </c>
      <c r="D3" s="5" t="s">
        <v>14</v>
      </c>
      <c r="E3" s="5" t="s">
        <v>15</v>
      </c>
      <c r="F3" s="16">
        <v>0</v>
      </c>
      <c r="G3" s="16">
        <v>180000</v>
      </c>
      <c r="H3" s="16">
        <v>75000</v>
      </c>
      <c r="I3" s="16">
        <v>45000</v>
      </c>
      <c r="J3" s="16">
        <v>0</v>
      </c>
    </row>
    <row r="4" spans="1:10">
      <c r="A4" s="18" t="s">
        <v>16</v>
      </c>
      <c r="B4" s="13"/>
      <c r="C4" s="5" t="s">
        <v>17</v>
      </c>
      <c r="D4" s="5" t="s">
        <v>18</v>
      </c>
      <c r="E4" s="5" t="s">
        <v>19</v>
      </c>
      <c r="F4" s="16"/>
      <c r="G4" s="16">
        <f>560000*0.65</f>
        <v>364000</v>
      </c>
      <c r="H4" s="16">
        <f>560000*0.35</f>
        <v>196000</v>
      </c>
      <c r="I4" s="16"/>
      <c r="J4" s="16"/>
    </row>
    <row r="5" spans="1:10">
      <c r="A5" s="18" t="s">
        <v>20</v>
      </c>
      <c r="B5" s="13"/>
      <c r="C5" s="5" t="s">
        <v>21</v>
      </c>
      <c r="D5" s="5" t="s">
        <v>18</v>
      </c>
      <c r="E5" s="5" t="s">
        <v>19</v>
      </c>
      <c r="F5" s="16"/>
      <c r="G5" s="16">
        <f>850000*0.85</f>
        <v>722500</v>
      </c>
      <c r="H5" s="16">
        <f>850000*0.15</f>
        <v>127500</v>
      </c>
      <c r="I5" s="16"/>
      <c r="J5" s="16"/>
    </row>
    <row r="6" spans="1:10">
      <c r="A6" s="18" t="s">
        <v>22</v>
      </c>
      <c r="B6" s="13"/>
      <c r="C6" s="5" t="s">
        <v>23</v>
      </c>
      <c r="D6" s="5" t="s">
        <v>18</v>
      </c>
      <c r="E6" s="5" t="s">
        <v>24</v>
      </c>
      <c r="F6" s="16"/>
      <c r="G6" s="16">
        <f>850000*0.65</f>
        <v>552500</v>
      </c>
      <c r="H6" s="16">
        <f>850000*0.35</f>
        <v>297500</v>
      </c>
      <c r="I6" s="16"/>
      <c r="J6" s="16"/>
    </row>
    <row r="7" spans="1:10">
      <c r="A7" s="18" t="s">
        <v>25</v>
      </c>
      <c r="B7" s="13"/>
      <c r="C7" s="5" t="s">
        <v>26</v>
      </c>
      <c r="D7" s="5" t="s">
        <v>14</v>
      </c>
      <c r="E7" s="5" t="s">
        <v>15</v>
      </c>
      <c r="F7" s="16">
        <v>0</v>
      </c>
      <c r="G7" s="16">
        <v>0</v>
      </c>
      <c r="H7" s="16">
        <v>0</v>
      </c>
      <c r="I7" s="16">
        <v>108000</v>
      </c>
      <c r="J7" s="16">
        <v>72000</v>
      </c>
    </row>
    <row r="8" spans="1:10">
      <c r="A8" s="18" t="s">
        <v>27</v>
      </c>
      <c r="B8" s="13"/>
      <c r="C8" s="5" t="s">
        <v>28</v>
      </c>
      <c r="D8" s="5" t="s">
        <v>14</v>
      </c>
      <c r="E8" s="5" t="s">
        <v>15</v>
      </c>
      <c r="F8" s="16"/>
      <c r="G8" s="16">
        <v>26000</v>
      </c>
      <c r="H8" s="16">
        <v>31000</v>
      </c>
      <c r="I8" s="16">
        <v>36000</v>
      </c>
      <c r="J8" s="16"/>
    </row>
    <row r="9" spans="1:10">
      <c r="A9" s="18" t="s">
        <v>29</v>
      </c>
      <c r="B9" s="13"/>
      <c r="C9" s="5" t="s">
        <v>30</v>
      </c>
      <c r="D9" s="5" t="s">
        <v>18</v>
      </c>
      <c r="E9" s="5" t="s">
        <v>19</v>
      </c>
      <c r="F9" s="16"/>
      <c r="G9" s="16">
        <f>850000*0.65</f>
        <v>552500</v>
      </c>
      <c r="H9" s="16">
        <f>850000*0.35</f>
        <v>297500</v>
      </c>
      <c r="I9" s="16"/>
      <c r="J9" s="16"/>
    </row>
    <row r="10" spans="1:10">
      <c r="A10" s="18" t="s">
        <v>31</v>
      </c>
      <c r="B10" s="13"/>
      <c r="C10" s="5" t="s">
        <v>32</v>
      </c>
      <c r="D10" s="5" t="s">
        <v>18</v>
      </c>
      <c r="E10" s="5" t="s">
        <v>19</v>
      </c>
      <c r="F10" s="16"/>
      <c r="G10" s="16">
        <f>850000*0.35</f>
        <v>297500</v>
      </c>
      <c r="H10" s="16">
        <f>850000*0.6</f>
        <v>510000</v>
      </c>
      <c r="I10" s="16">
        <f>850000*0.05</f>
        <v>42500</v>
      </c>
      <c r="J10" s="16"/>
    </row>
    <row r="11" spans="1:10">
      <c r="A11" s="18" t="s">
        <v>33</v>
      </c>
      <c r="B11" s="13"/>
      <c r="C11" s="5" t="s">
        <v>34</v>
      </c>
      <c r="D11" s="5" t="s">
        <v>35</v>
      </c>
      <c r="E11" s="5" t="s">
        <v>36</v>
      </c>
      <c r="F11" s="16"/>
      <c r="G11" s="16">
        <v>100</v>
      </c>
      <c r="H11" s="16">
        <v>210</v>
      </c>
      <c r="I11" s="16">
        <v>300</v>
      </c>
      <c r="J11" s="16">
        <v>390</v>
      </c>
    </row>
    <row r="12" spans="1:10">
      <c r="A12" s="18" t="s">
        <v>37</v>
      </c>
      <c r="B12" s="13"/>
      <c r="C12" s="5" t="s">
        <v>38</v>
      </c>
      <c r="D12" s="5" t="s">
        <v>35</v>
      </c>
      <c r="E12" s="5" t="s">
        <v>36</v>
      </c>
      <c r="F12" s="16"/>
      <c r="G12" s="16">
        <v>100</v>
      </c>
      <c r="H12" s="16">
        <v>210</v>
      </c>
      <c r="I12" s="16">
        <v>300</v>
      </c>
      <c r="J12" s="16">
        <v>390</v>
      </c>
    </row>
    <row r="13" spans="1:10">
      <c r="A13" s="18" t="s">
        <v>39</v>
      </c>
      <c r="B13" s="13"/>
      <c r="C13" s="5" t="s">
        <v>40</v>
      </c>
      <c r="D13" s="5" t="s">
        <v>18</v>
      </c>
      <c r="E13" s="5" t="s">
        <v>24</v>
      </c>
      <c r="F13" s="16"/>
      <c r="G13" s="16">
        <f>560000*0.35</f>
        <v>196000</v>
      </c>
      <c r="H13" s="16">
        <f>560000*0.6</f>
        <v>336000</v>
      </c>
      <c r="I13" s="16">
        <f>560000*0.05</f>
        <v>28000</v>
      </c>
      <c r="J13" s="16"/>
    </row>
    <row r="14" spans="1:10">
      <c r="A14" s="14" t="s">
        <v>41</v>
      </c>
      <c r="B14" s="14"/>
      <c r="C14" s="15" t="s">
        <v>42</v>
      </c>
      <c r="F14" s="16"/>
      <c r="G14" s="16"/>
      <c r="H14" s="16"/>
      <c r="I14" s="16"/>
      <c r="J14" s="16"/>
    </row>
    <row r="15" spans="1:10" s="13" customFormat="1">
      <c r="A15" s="18" t="s">
        <v>43</v>
      </c>
      <c r="C15" s="13" t="s">
        <v>44</v>
      </c>
      <c r="D15" s="5" t="s">
        <v>18</v>
      </c>
      <c r="E15" s="5" t="s">
        <v>24</v>
      </c>
      <c r="F15" s="17"/>
      <c r="G15" s="17">
        <v>45069</v>
      </c>
      <c r="H15" s="17">
        <v>94645</v>
      </c>
      <c r="I15" s="17">
        <v>135208</v>
      </c>
      <c r="J15" s="17"/>
    </row>
    <row r="16" spans="1:10">
      <c r="A16" s="18" t="s">
        <v>45</v>
      </c>
      <c r="B16" s="13"/>
      <c r="C16" s="5" t="s">
        <v>46</v>
      </c>
      <c r="D16" s="5" t="s">
        <v>18</v>
      </c>
      <c r="E16" s="5" t="s">
        <v>19</v>
      </c>
      <c r="F16" s="16"/>
      <c r="G16" s="16"/>
      <c r="H16" s="16">
        <f>560000*0.65</f>
        <v>364000</v>
      </c>
      <c r="I16" s="16">
        <f>560000*0.35</f>
        <v>196000</v>
      </c>
      <c r="J16" s="16"/>
    </row>
    <row r="17" spans="1:10">
      <c r="A17" s="18" t="s">
        <v>47</v>
      </c>
      <c r="B17" s="13"/>
      <c r="C17" s="5" t="s">
        <v>48</v>
      </c>
      <c r="D17" s="5" t="s">
        <v>18</v>
      </c>
      <c r="E17" s="5" t="s">
        <v>24</v>
      </c>
      <c r="F17" s="16"/>
      <c r="G17" s="16"/>
      <c r="H17" s="16">
        <f>560000*0.35</f>
        <v>196000</v>
      </c>
      <c r="I17" s="16">
        <f>560000*0.6</f>
        <v>336000</v>
      </c>
      <c r="J17" s="16">
        <f>560000*0.05</f>
        <v>28000</v>
      </c>
    </row>
    <row r="18" spans="1:10">
      <c r="A18" s="18" t="s">
        <v>49</v>
      </c>
      <c r="B18" s="13"/>
      <c r="C18" s="5" t="s">
        <v>50</v>
      </c>
      <c r="D18" s="5" t="s">
        <v>18</v>
      </c>
      <c r="E18" s="5" t="s">
        <v>19</v>
      </c>
      <c r="F18" s="16"/>
      <c r="G18" s="16"/>
      <c r="H18" s="16"/>
      <c r="I18" s="16">
        <f>560000*0.85</f>
        <v>476000</v>
      </c>
      <c r="J18" s="16">
        <f>560000*0.15</f>
        <v>84000</v>
      </c>
    </row>
    <row r="19" spans="1:10">
      <c r="A19" s="18" t="s">
        <v>51</v>
      </c>
      <c r="B19" s="13"/>
      <c r="C19" s="5" t="s">
        <v>52</v>
      </c>
      <c r="D19" s="5" t="s">
        <v>14</v>
      </c>
      <c r="E19" s="5" t="s">
        <v>15</v>
      </c>
      <c r="F19" s="16"/>
      <c r="G19" s="16">
        <v>26000</v>
      </c>
      <c r="H19" s="16">
        <v>31000</v>
      </c>
      <c r="I19" s="16">
        <v>36000</v>
      </c>
      <c r="J19" s="16"/>
    </row>
    <row r="20" spans="1:10">
      <c r="A20" s="18" t="s">
        <v>53</v>
      </c>
      <c r="B20" s="13"/>
      <c r="C20" s="5" t="s">
        <v>54</v>
      </c>
      <c r="D20" s="5" t="s">
        <v>14</v>
      </c>
      <c r="E20" s="5" t="s">
        <v>55</v>
      </c>
      <c r="F20" s="16">
        <v>0</v>
      </c>
      <c r="G20" s="16">
        <v>0</v>
      </c>
      <c r="H20" s="16">
        <v>0</v>
      </c>
      <c r="I20" s="16">
        <v>72000</v>
      </c>
      <c r="J20" s="16">
        <v>390000</v>
      </c>
    </row>
    <row r="21" spans="1:10">
      <c r="A21" s="18" t="s">
        <v>56</v>
      </c>
      <c r="B21" s="13"/>
      <c r="C21" s="5" t="s">
        <v>57</v>
      </c>
      <c r="D21" s="5" t="s">
        <v>14</v>
      </c>
      <c r="E21" s="5" t="s">
        <v>15</v>
      </c>
      <c r="F21" s="16"/>
      <c r="G21" s="16">
        <v>26000</v>
      </c>
      <c r="H21" s="16">
        <v>31000</v>
      </c>
      <c r="I21" s="16">
        <v>36000</v>
      </c>
      <c r="J21" s="16"/>
    </row>
    <row r="22" spans="1:10">
      <c r="A22" s="18" t="s">
        <v>58</v>
      </c>
      <c r="B22" s="13"/>
      <c r="C22" s="5" t="s">
        <v>59</v>
      </c>
      <c r="D22" s="5" t="s">
        <v>14</v>
      </c>
      <c r="E22" s="5" t="s">
        <v>15</v>
      </c>
      <c r="F22" s="16"/>
      <c r="G22" s="16">
        <v>350000</v>
      </c>
      <c r="H22" s="16">
        <v>420000</v>
      </c>
      <c r="I22" s="16">
        <v>630000</v>
      </c>
      <c r="J22" s="16"/>
    </row>
    <row r="23" spans="1:10">
      <c r="A23" s="18" t="s">
        <v>60</v>
      </c>
      <c r="B23" s="13"/>
      <c r="C23" s="5" t="s">
        <v>61</v>
      </c>
      <c r="D23" s="5" t="s">
        <v>14</v>
      </c>
      <c r="E23" s="5" t="s">
        <v>15</v>
      </c>
      <c r="F23" s="16"/>
      <c r="G23" s="16">
        <f>500000*0.85</f>
        <v>425000</v>
      </c>
      <c r="H23" s="16">
        <f>500000*0.15</f>
        <v>75000</v>
      </c>
      <c r="I23" s="16"/>
      <c r="J23" s="16"/>
    </row>
    <row r="24" spans="1:10">
      <c r="A24" s="18" t="s">
        <v>62</v>
      </c>
      <c r="B24" s="13"/>
      <c r="C24" s="5" t="s">
        <v>63</v>
      </c>
      <c r="D24" s="5" t="s">
        <v>18</v>
      </c>
      <c r="E24" s="5" t="s">
        <v>19</v>
      </c>
      <c r="F24" s="16"/>
      <c r="G24" s="16">
        <f>500000*0.85</f>
        <v>425000</v>
      </c>
      <c r="H24" s="16">
        <f>500000*0.15</f>
        <v>75000</v>
      </c>
      <c r="I24" s="16"/>
      <c r="J24" s="16"/>
    </row>
    <row r="25" spans="1:10" s="13" customFormat="1">
      <c r="A25" s="18" t="s">
        <v>64</v>
      </c>
      <c r="C25" s="13" t="s">
        <v>65</v>
      </c>
      <c r="D25" s="5" t="s">
        <v>35</v>
      </c>
      <c r="E25" s="5" t="s">
        <v>36</v>
      </c>
      <c r="F25" s="17"/>
      <c r="G25" s="17">
        <v>210000</v>
      </c>
      <c r="H25" s="17">
        <v>280000</v>
      </c>
      <c r="I25" s="17">
        <v>105000</v>
      </c>
      <c r="J25" s="17">
        <v>105000</v>
      </c>
    </row>
    <row r="26" spans="1:10" s="13" customFormat="1">
      <c r="A26" s="18" t="s">
        <v>66</v>
      </c>
      <c r="C26" s="13" t="s">
        <v>67</v>
      </c>
      <c r="D26" s="13" t="s">
        <v>18</v>
      </c>
      <c r="E26" s="13" t="s">
        <v>19</v>
      </c>
      <c r="F26" s="17"/>
      <c r="G26" s="17">
        <v>120000</v>
      </c>
      <c r="H26" s="17">
        <v>160000</v>
      </c>
      <c r="I26" s="17">
        <v>60000</v>
      </c>
      <c r="J26" s="17">
        <v>60000</v>
      </c>
    </row>
    <row r="27" spans="1:10" s="13" customFormat="1">
      <c r="A27" s="18" t="s">
        <v>66</v>
      </c>
      <c r="C27" s="13" t="s">
        <v>68</v>
      </c>
      <c r="D27" s="13" t="s">
        <v>18</v>
      </c>
      <c r="E27" s="13" t="s">
        <v>19</v>
      </c>
      <c r="F27" s="17"/>
      <c r="G27" s="17">
        <v>120000</v>
      </c>
      <c r="H27" s="17">
        <v>160000</v>
      </c>
      <c r="I27" s="17">
        <v>60000</v>
      </c>
      <c r="J27" s="17">
        <v>60000</v>
      </c>
    </row>
    <row r="28" spans="1:10" s="13" customFormat="1">
      <c r="A28" s="18" t="s">
        <v>69</v>
      </c>
      <c r="C28" s="13" t="s">
        <v>70</v>
      </c>
      <c r="D28" s="13" t="s">
        <v>18</v>
      </c>
      <c r="E28" s="13" t="s">
        <v>19</v>
      </c>
      <c r="F28" s="17"/>
      <c r="G28" s="17">
        <v>120000</v>
      </c>
      <c r="H28" s="17">
        <v>160000</v>
      </c>
      <c r="I28" s="17">
        <v>60000</v>
      </c>
      <c r="J28" s="17">
        <v>60000</v>
      </c>
    </row>
    <row r="29" spans="1:10" s="13" customFormat="1">
      <c r="A29" s="18" t="s">
        <v>71</v>
      </c>
      <c r="C29" s="13" t="s">
        <v>72</v>
      </c>
      <c r="D29" s="13" t="s">
        <v>14</v>
      </c>
      <c r="E29" s="13" t="s">
        <v>55</v>
      </c>
      <c r="F29" s="17">
        <v>0</v>
      </c>
      <c r="G29" s="17">
        <v>260</v>
      </c>
      <c r="H29" s="17">
        <v>100000</v>
      </c>
      <c r="I29" s="17">
        <v>40000</v>
      </c>
      <c r="J29" s="17">
        <v>0</v>
      </c>
    </row>
    <row r="30" spans="1:10" s="13" customFormat="1">
      <c r="A30" s="18" t="s">
        <v>69</v>
      </c>
      <c r="C30" s="13" t="s">
        <v>73</v>
      </c>
      <c r="D30" s="13" t="s">
        <v>18</v>
      </c>
      <c r="E30" s="13" t="s">
        <v>19</v>
      </c>
      <c r="F30" s="17"/>
      <c r="G30" s="17">
        <v>120000</v>
      </c>
      <c r="H30" s="17">
        <v>160000</v>
      </c>
      <c r="I30" s="17">
        <v>60000</v>
      </c>
      <c r="J30" s="17">
        <v>60000</v>
      </c>
    </row>
    <row r="31" spans="1:10">
      <c r="A31" s="18" t="s">
        <v>64</v>
      </c>
      <c r="B31" s="13"/>
      <c r="C31" s="5" t="s">
        <v>74</v>
      </c>
      <c r="D31" s="5" t="s">
        <v>35</v>
      </c>
      <c r="E31" s="5" t="s">
        <v>36</v>
      </c>
      <c r="F31" s="16"/>
      <c r="G31" s="16">
        <v>50</v>
      </c>
      <c r="H31" s="16">
        <v>105</v>
      </c>
      <c r="I31" s="16">
        <v>150</v>
      </c>
      <c r="J31" s="16">
        <v>195</v>
      </c>
    </row>
    <row r="32" spans="1:10" ht="20.25" customHeight="1">
      <c r="A32" s="19" t="s">
        <v>75</v>
      </c>
      <c r="B32" s="20"/>
      <c r="C32" s="5" t="s">
        <v>76</v>
      </c>
      <c r="D32" s="5" t="s">
        <v>14</v>
      </c>
      <c r="E32" s="5" t="s">
        <v>15</v>
      </c>
      <c r="F32" s="16">
        <v>0</v>
      </c>
      <c r="G32" s="16">
        <v>275000</v>
      </c>
      <c r="H32" s="16">
        <v>150000</v>
      </c>
      <c r="I32" s="16">
        <v>75000</v>
      </c>
      <c r="J32" s="16">
        <v>0</v>
      </c>
    </row>
    <row r="33" spans="1:10">
      <c r="A33" s="18" t="s">
        <v>77</v>
      </c>
      <c r="B33" s="13"/>
      <c r="C33" s="5" t="s">
        <v>78</v>
      </c>
      <c r="D33" s="5" t="s">
        <v>18</v>
      </c>
      <c r="E33" s="5" t="s">
        <v>24</v>
      </c>
      <c r="G33" s="16">
        <f>560000*0.85</f>
        <v>476000</v>
      </c>
      <c r="H33" s="16">
        <f>560000*0.15</f>
        <v>84000</v>
      </c>
    </row>
    <row r="34" spans="1:10">
      <c r="A34" s="18" t="s">
        <v>79</v>
      </c>
      <c r="B34" s="13"/>
      <c r="C34" s="5" t="s">
        <v>80</v>
      </c>
      <c r="D34" s="5" t="s">
        <v>18</v>
      </c>
      <c r="E34" s="5" t="s">
        <v>24</v>
      </c>
      <c r="G34" s="16">
        <f>850000*0.85</f>
        <v>722500</v>
      </c>
      <c r="H34" s="16">
        <f>850000*0.15</f>
        <v>127500</v>
      </c>
    </row>
    <row r="35" spans="1:10" ht="15.75" customHeight="1">
      <c r="A35" s="15" t="s">
        <v>81</v>
      </c>
      <c r="C35" s="5" t="s">
        <v>82</v>
      </c>
    </row>
    <row r="36" spans="1:10" ht="15.75" customHeight="1">
      <c r="A36" s="15" t="s">
        <v>83</v>
      </c>
      <c r="C36" s="5" t="s">
        <v>84</v>
      </c>
    </row>
    <row r="37" spans="1:10" ht="15.75" customHeight="1">
      <c r="A37" s="21" t="s">
        <v>85</v>
      </c>
      <c r="C37" s="5" t="s">
        <v>86</v>
      </c>
      <c r="D37" s="5" t="s">
        <v>14</v>
      </c>
      <c r="E37" s="5" t="s">
        <v>15</v>
      </c>
      <c r="G37" s="16">
        <f>300000*0.35</f>
        <v>105000</v>
      </c>
      <c r="H37" s="16">
        <f>300000*0.6</f>
        <v>180000</v>
      </c>
      <c r="I37" s="16">
        <f>300000*0.05</f>
        <v>15000</v>
      </c>
    </row>
    <row r="38" spans="1:10" ht="15.75" customHeight="1">
      <c r="A38" s="21" t="s">
        <v>87</v>
      </c>
      <c r="C38" s="5" t="s">
        <v>88</v>
      </c>
      <c r="D38" s="5" t="s">
        <v>14</v>
      </c>
      <c r="E38" s="5" t="s">
        <v>15</v>
      </c>
      <c r="G38" s="16">
        <f t="shared" ref="G38:G39" si="0">300000*0.35</f>
        <v>105000</v>
      </c>
      <c r="H38" s="16">
        <f t="shared" ref="H38:H39" si="1">300000*0.6</f>
        <v>180000</v>
      </c>
      <c r="I38" s="16">
        <f t="shared" ref="I38:I39" si="2">300000*0.05</f>
        <v>15000</v>
      </c>
    </row>
    <row r="39" spans="1:10" ht="15.75" customHeight="1">
      <c r="A39" s="21" t="s">
        <v>89</v>
      </c>
      <c r="C39" s="5" t="s">
        <v>90</v>
      </c>
      <c r="D39" s="5" t="s">
        <v>14</v>
      </c>
      <c r="E39" s="5" t="s">
        <v>15</v>
      </c>
      <c r="G39" s="16">
        <f t="shared" si="0"/>
        <v>105000</v>
      </c>
      <c r="H39" s="16">
        <f t="shared" si="1"/>
        <v>180000</v>
      </c>
      <c r="I39" s="16">
        <f t="shared" si="2"/>
        <v>15000</v>
      </c>
    </row>
    <row r="40" spans="1:10" ht="15.75" customHeight="1">
      <c r="A40" s="5" t="s">
        <v>91</v>
      </c>
      <c r="C40" s="5" t="s">
        <v>92</v>
      </c>
      <c r="D40" s="5" t="s">
        <v>14</v>
      </c>
      <c r="E40" s="5" t="s">
        <v>15</v>
      </c>
      <c r="G40" s="25">
        <v>20475</v>
      </c>
      <c r="H40" s="25">
        <v>40950</v>
      </c>
      <c r="I40" s="25">
        <v>61425</v>
      </c>
      <c r="J40" s="25"/>
    </row>
    <row r="41" spans="1:10" ht="15.75" customHeight="1">
      <c r="A41" s="5" t="s">
        <v>93</v>
      </c>
      <c r="C41" s="5" t="s">
        <v>94</v>
      </c>
      <c r="D41" s="5" t="s">
        <v>14</v>
      </c>
      <c r="E41" s="5" t="s">
        <v>15</v>
      </c>
      <c r="G41" s="25">
        <v>20475</v>
      </c>
      <c r="H41" s="25">
        <v>40950</v>
      </c>
      <c r="I41" s="25">
        <v>61425</v>
      </c>
    </row>
    <row r="42" spans="1:10" ht="15.75" customHeight="1">
      <c r="A42" s="5" t="s">
        <v>95</v>
      </c>
      <c r="C42" s="5" t="s">
        <v>96</v>
      </c>
      <c r="D42" s="5" t="s">
        <v>14</v>
      </c>
      <c r="E42" s="5" t="s">
        <v>15</v>
      </c>
      <c r="G42" s="23" t="s">
        <v>97</v>
      </c>
      <c r="H42" s="24" t="s">
        <v>98</v>
      </c>
      <c r="I42" s="24" t="s">
        <v>99</v>
      </c>
    </row>
    <row r="43" spans="1:10" ht="15.75" customHeight="1">
      <c r="A43" s="5" t="s">
        <v>100</v>
      </c>
      <c r="D43" s="5" t="s">
        <v>14</v>
      </c>
      <c r="E43" s="5" t="s">
        <v>15</v>
      </c>
      <c r="G43" s="25">
        <v>20475</v>
      </c>
      <c r="H43" s="25">
        <v>40950</v>
      </c>
      <c r="I43" s="25">
        <v>61425</v>
      </c>
    </row>
    <row r="44" spans="1:10" ht="15.75" customHeight="1">
      <c r="A44" s="5" t="s">
        <v>101</v>
      </c>
      <c r="D44" s="5" t="s">
        <v>14</v>
      </c>
      <c r="E44" s="5" t="s">
        <v>15</v>
      </c>
      <c r="J44" s="26">
        <v>245700</v>
      </c>
    </row>
  </sheetData>
  <autoFilter ref="A2:J34" xr:uid="{A3519637-199A-4342-94B6-656FD616A422}"/>
  <mergeCells count="1">
    <mergeCell ref="F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D3:D457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E3 E15 E26:E28 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876B-452B-4A56-8A8C-AD2998D4788D}">
  <sheetPr>
    <tabColor rgb="FF92D050"/>
  </sheetPr>
  <dimension ref="A1:H41"/>
  <sheetViews>
    <sheetView tabSelected="1" workbookViewId="0">
      <selection activeCell="G15" sqref="G15"/>
    </sheetView>
  </sheetViews>
  <sheetFormatPr defaultRowHeight="15.75"/>
  <cols>
    <col min="1" max="1" width="61.25" style="37" customWidth="1"/>
    <col min="2" max="2" width="14.75" customWidth="1"/>
    <col min="3" max="7" width="21.125" customWidth="1"/>
    <col min="8" max="8" width="18.625" customWidth="1"/>
  </cols>
  <sheetData>
    <row r="1" spans="1:8" ht="21">
      <c r="A1" s="33" t="s">
        <v>102</v>
      </c>
      <c r="B1" s="6"/>
      <c r="C1" s="6"/>
      <c r="D1" s="6"/>
      <c r="E1" s="47"/>
      <c r="F1" s="47"/>
      <c r="G1" s="48"/>
      <c r="H1" s="44"/>
    </row>
    <row r="2" spans="1:8">
      <c r="A2" s="34" t="s">
        <v>2</v>
      </c>
      <c r="B2" s="7" t="s">
        <v>4</v>
      </c>
      <c r="C2" s="7" t="s">
        <v>5</v>
      </c>
      <c r="D2" s="7" t="s">
        <v>6</v>
      </c>
      <c r="E2" s="7" t="s">
        <v>103</v>
      </c>
      <c r="F2" s="7" t="s">
        <v>104</v>
      </c>
      <c r="G2" s="7" t="s">
        <v>105</v>
      </c>
      <c r="H2" s="7" t="s">
        <v>106</v>
      </c>
    </row>
    <row r="3" spans="1:8" s="27" customFormat="1" ht="21.75" customHeight="1">
      <c r="A3" s="40" t="s">
        <v>107</v>
      </c>
      <c r="B3" s="13" t="s">
        <v>108</v>
      </c>
      <c r="C3" s="5" t="s">
        <v>109</v>
      </c>
      <c r="D3" s="38" t="s">
        <v>110</v>
      </c>
      <c r="E3" s="17">
        <v>210000</v>
      </c>
      <c r="F3" s="17">
        <v>280000</v>
      </c>
      <c r="G3" s="17">
        <v>105000</v>
      </c>
      <c r="H3" s="17">
        <v>105000</v>
      </c>
    </row>
    <row r="4" spans="1:8" s="27" customFormat="1">
      <c r="A4" s="41" t="s">
        <v>111</v>
      </c>
      <c r="B4" s="13" t="s">
        <v>46</v>
      </c>
      <c r="C4" s="13" t="s">
        <v>18</v>
      </c>
      <c r="D4" s="5" t="s">
        <v>19</v>
      </c>
      <c r="E4" s="16">
        <f>560000*0.35</f>
        <v>196000</v>
      </c>
      <c r="F4" s="16">
        <f>560000*0.6</f>
        <v>336000</v>
      </c>
      <c r="G4" s="16">
        <f>560000*0.05</f>
        <v>28000</v>
      </c>
      <c r="H4" s="17"/>
    </row>
    <row r="5" spans="1:8" s="27" customFormat="1">
      <c r="A5" s="41" t="s">
        <v>112</v>
      </c>
      <c r="B5" s="13" t="s">
        <v>113</v>
      </c>
      <c r="C5" s="13" t="s">
        <v>18</v>
      </c>
      <c r="D5" s="13" t="s">
        <v>19</v>
      </c>
      <c r="E5" s="17">
        <v>120000</v>
      </c>
      <c r="F5" s="17">
        <v>160000</v>
      </c>
      <c r="G5" s="17">
        <v>60000</v>
      </c>
      <c r="H5" s="17">
        <v>60000</v>
      </c>
    </row>
    <row r="6" spans="1:8" s="27" customFormat="1">
      <c r="A6" s="41" t="s">
        <v>114</v>
      </c>
      <c r="B6" s="13" t="s">
        <v>115</v>
      </c>
      <c r="C6" s="13" t="s">
        <v>109</v>
      </c>
      <c r="D6" s="13" t="s">
        <v>116</v>
      </c>
      <c r="E6" s="16">
        <f>1000000*0.35</f>
        <v>350000</v>
      </c>
      <c r="F6" s="16">
        <f>1000000*0.6</f>
        <v>600000</v>
      </c>
      <c r="G6" s="16">
        <f>100000*0.05</f>
        <v>5000</v>
      </c>
      <c r="H6" s="17"/>
    </row>
    <row r="7" spans="1:8" s="27" customFormat="1">
      <c r="A7" s="41" t="s">
        <v>117</v>
      </c>
      <c r="B7" s="13" t="s">
        <v>118</v>
      </c>
      <c r="C7" s="13" t="s">
        <v>18</v>
      </c>
      <c r="D7" s="5" t="s">
        <v>19</v>
      </c>
      <c r="E7" s="16">
        <f>420000*0.35</f>
        <v>147000</v>
      </c>
      <c r="F7" s="16">
        <f>420000*0.6</f>
        <v>252000</v>
      </c>
      <c r="G7" s="16">
        <f>420000*0.05</f>
        <v>21000</v>
      </c>
      <c r="H7" s="17"/>
    </row>
    <row r="8" spans="1:8" s="27" customFormat="1">
      <c r="A8" s="41" t="s">
        <v>119</v>
      </c>
      <c r="B8" s="13" t="s">
        <v>120</v>
      </c>
      <c r="C8" s="13" t="s">
        <v>14</v>
      </c>
      <c r="D8" s="13" t="s">
        <v>15</v>
      </c>
      <c r="E8" s="39">
        <v>61165</v>
      </c>
      <c r="F8" s="39">
        <v>82752</v>
      </c>
      <c r="G8" s="39">
        <v>89948</v>
      </c>
      <c r="H8" s="39">
        <v>125927</v>
      </c>
    </row>
    <row r="9" spans="1:8" s="27" customFormat="1">
      <c r="A9" s="41" t="s">
        <v>121</v>
      </c>
      <c r="B9" s="13" t="s">
        <v>122</v>
      </c>
      <c r="C9" s="13" t="s">
        <v>14</v>
      </c>
      <c r="D9" s="13" t="s">
        <v>15</v>
      </c>
      <c r="E9" s="16">
        <f>175000*0.35</f>
        <v>61249.999999999993</v>
      </c>
      <c r="F9" s="16">
        <f>175000*0.6</f>
        <v>105000</v>
      </c>
      <c r="G9" s="16">
        <f>175000*0.05</f>
        <v>8750</v>
      </c>
      <c r="H9" s="17"/>
    </row>
    <row r="10" spans="1:8" s="27" customFormat="1">
      <c r="A10" s="41" t="s">
        <v>123</v>
      </c>
      <c r="B10" s="13" t="s">
        <v>124</v>
      </c>
      <c r="C10" s="5" t="s">
        <v>35</v>
      </c>
      <c r="D10" s="5" t="s">
        <v>36</v>
      </c>
      <c r="E10" s="17">
        <v>210000</v>
      </c>
      <c r="F10" s="17">
        <v>280000</v>
      </c>
      <c r="G10" s="17">
        <v>105000</v>
      </c>
      <c r="H10" s="17">
        <v>105000</v>
      </c>
    </row>
    <row r="11" spans="1:8" s="27" customFormat="1">
      <c r="A11" s="41" t="s">
        <v>125</v>
      </c>
      <c r="B11" s="13" t="s">
        <v>126</v>
      </c>
      <c r="C11" s="13" t="s">
        <v>14</v>
      </c>
      <c r="D11" s="13" t="s">
        <v>15</v>
      </c>
      <c r="E11" s="16">
        <f>175000*0.35</f>
        <v>61249.999999999993</v>
      </c>
      <c r="F11" s="16">
        <f>175000*0.6</f>
        <v>105000</v>
      </c>
      <c r="G11" s="16">
        <f>175000*0.05</f>
        <v>8750</v>
      </c>
      <c r="H11" s="17"/>
    </row>
    <row r="12" spans="1:8" s="27" customFormat="1">
      <c r="A12" s="41" t="s">
        <v>127</v>
      </c>
      <c r="B12" s="13" t="s">
        <v>48</v>
      </c>
      <c r="C12" s="13" t="s">
        <v>18</v>
      </c>
      <c r="D12" s="5" t="s">
        <v>19</v>
      </c>
      <c r="E12" s="16">
        <f>560000*0.35</f>
        <v>196000</v>
      </c>
      <c r="F12" s="16">
        <f>560000*0.6</f>
        <v>336000</v>
      </c>
      <c r="G12" s="16">
        <f>560000*0.05</f>
        <v>28000</v>
      </c>
      <c r="H12" s="17"/>
    </row>
    <row r="13" spans="1:8" s="27" customFormat="1">
      <c r="A13" s="42" t="s">
        <v>128</v>
      </c>
      <c r="B13" s="14" t="s">
        <v>129</v>
      </c>
      <c r="C13" s="13" t="s">
        <v>14</v>
      </c>
      <c r="D13" s="13" t="s">
        <v>55</v>
      </c>
      <c r="E13" s="17">
        <v>260</v>
      </c>
      <c r="F13" s="17">
        <v>100000</v>
      </c>
      <c r="G13" s="17">
        <v>40000</v>
      </c>
      <c r="H13" s="17">
        <v>0</v>
      </c>
    </row>
    <row r="14" spans="1:8" s="27" customFormat="1">
      <c r="A14" s="41" t="s">
        <v>130</v>
      </c>
      <c r="B14" s="13" t="s">
        <v>131</v>
      </c>
      <c r="C14" s="13" t="s">
        <v>14</v>
      </c>
      <c r="D14" s="13" t="s">
        <v>15</v>
      </c>
      <c r="E14" s="16">
        <f>500000*0.35</f>
        <v>175000</v>
      </c>
      <c r="F14" s="16">
        <f>500000*0.6</f>
        <v>300000</v>
      </c>
      <c r="G14" s="16">
        <f>0*0.05</f>
        <v>0</v>
      </c>
      <c r="H14" s="17"/>
    </row>
    <row r="15" spans="1:8" s="27" customFormat="1">
      <c r="A15" s="41" t="s">
        <v>132</v>
      </c>
      <c r="B15" s="13" t="s">
        <v>133</v>
      </c>
      <c r="C15" s="13" t="s">
        <v>18</v>
      </c>
      <c r="D15" s="5" t="s">
        <v>19</v>
      </c>
      <c r="E15" s="16">
        <f>500000*0.35</f>
        <v>175000</v>
      </c>
      <c r="F15" s="16">
        <f>500000*0.6</f>
        <v>300000</v>
      </c>
      <c r="G15" s="16">
        <f>500000*0.05</f>
        <v>25000</v>
      </c>
      <c r="H15" s="17"/>
    </row>
    <row r="16" spans="1:8" s="27" customFormat="1">
      <c r="A16" s="41" t="s">
        <v>134</v>
      </c>
      <c r="B16" s="13" t="s">
        <v>135</v>
      </c>
      <c r="C16" s="13" t="s">
        <v>14</v>
      </c>
      <c r="D16" s="13" t="s">
        <v>55</v>
      </c>
      <c r="E16" s="39">
        <v>166986</v>
      </c>
      <c r="F16" s="39">
        <v>225922</v>
      </c>
      <c r="G16" s="39">
        <v>245568</v>
      </c>
      <c r="H16" s="39">
        <v>343795</v>
      </c>
    </row>
    <row r="17" spans="1:8" s="27" customFormat="1">
      <c r="A17" s="41" t="s">
        <v>136</v>
      </c>
      <c r="B17" s="13" t="s">
        <v>72</v>
      </c>
      <c r="C17" s="13" t="s">
        <v>14</v>
      </c>
      <c r="D17" s="13" t="s">
        <v>15</v>
      </c>
      <c r="E17" s="16">
        <v>275000</v>
      </c>
      <c r="F17" s="16">
        <v>150000</v>
      </c>
      <c r="G17" s="16">
        <v>75000</v>
      </c>
      <c r="H17" s="16">
        <v>150000</v>
      </c>
    </row>
    <row r="18" spans="1:8" s="27" customFormat="1">
      <c r="A18" s="41" t="s">
        <v>137</v>
      </c>
      <c r="B18" s="13" t="s">
        <v>131</v>
      </c>
      <c r="C18" s="13" t="s">
        <v>14</v>
      </c>
      <c r="D18" s="13" t="s">
        <v>15</v>
      </c>
      <c r="E18" s="16">
        <f>420000*0.35</f>
        <v>147000</v>
      </c>
      <c r="F18" s="16">
        <f>420000*0.6</f>
        <v>252000</v>
      </c>
      <c r="G18" s="16">
        <f>420000*0.05</f>
        <v>21000</v>
      </c>
      <c r="H18" s="17"/>
    </row>
    <row r="19" spans="1:8" s="27" customFormat="1">
      <c r="A19" s="41" t="s">
        <v>138</v>
      </c>
      <c r="B19" s="13" t="s">
        <v>76</v>
      </c>
      <c r="C19" s="13" t="s">
        <v>14</v>
      </c>
      <c r="D19" s="13" t="s">
        <v>15</v>
      </c>
      <c r="E19" s="16">
        <v>275000</v>
      </c>
      <c r="F19" s="16">
        <v>150000</v>
      </c>
      <c r="G19" s="16">
        <v>75000</v>
      </c>
      <c r="H19" s="16">
        <v>150000</v>
      </c>
    </row>
    <row r="20" spans="1:8" s="27" customFormat="1">
      <c r="A20" s="41" t="s">
        <v>139</v>
      </c>
      <c r="B20" s="13" t="s">
        <v>140</v>
      </c>
      <c r="C20" s="13" t="s">
        <v>109</v>
      </c>
      <c r="D20" s="13" t="s">
        <v>141</v>
      </c>
      <c r="E20" s="17">
        <v>210000</v>
      </c>
      <c r="F20" s="17">
        <v>280000</v>
      </c>
      <c r="G20" s="17">
        <v>105000</v>
      </c>
      <c r="H20" s="17">
        <v>105000</v>
      </c>
    </row>
    <row r="21" spans="1:8" s="27" customFormat="1">
      <c r="A21" s="41" t="s">
        <v>142</v>
      </c>
      <c r="B21" s="13"/>
      <c r="C21" s="13" t="s">
        <v>14</v>
      </c>
      <c r="D21" s="13" t="s">
        <v>15</v>
      </c>
      <c r="E21" s="16">
        <v>26000</v>
      </c>
      <c r="F21" s="16">
        <v>31000</v>
      </c>
      <c r="G21" s="16">
        <v>36000</v>
      </c>
      <c r="H21" s="17"/>
    </row>
    <row r="22" spans="1:8" s="27" customFormat="1">
      <c r="A22" s="35"/>
      <c r="B22" s="13"/>
      <c r="C22" s="13"/>
      <c r="D22" s="13"/>
      <c r="E22" s="17"/>
      <c r="F22" s="17"/>
      <c r="G22" s="17"/>
      <c r="H22" s="17"/>
    </row>
    <row r="23" spans="1:8" s="27" customFormat="1">
      <c r="A23" s="35"/>
      <c r="B23" s="13"/>
      <c r="C23" s="13"/>
      <c r="D23" s="13"/>
      <c r="E23" s="17"/>
      <c r="F23" s="17"/>
      <c r="G23" s="17"/>
      <c r="H23" s="17"/>
    </row>
    <row r="24" spans="1:8" s="27" customFormat="1">
      <c r="A24" s="35"/>
      <c r="B24" s="13"/>
      <c r="C24" s="13"/>
      <c r="D24" s="13"/>
      <c r="E24" s="17"/>
      <c r="F24" s="17"/>
      <c r="G24" s="17"/>
      <c r="H24" s="17"/>
    </row>
    <row r="25" spans="1:8" s="27" customFormat="1">
      <c r="A25" s="35"/>
      <c r="B25" s="13"/>
      <c r="C25" s="13"/>
      <c r="D25" s="13"/>
      <c r="E25" s="17"/>
      <c r="F25" s="17"/>
      <c r="G25" s="17"/>
      <c r="H25" s="17"/>
    </row>
    <row r="26" spans="1:8" s="27" customFormat="1">
      <c r="A26" s="35"/>
      <c r="B26" s="13"/>
      <c r="C26" s="13"/>
      <c r="D26" s="13"/>
      <c r="E26" s="17"/>
      <c r="F26" s="17"/>
      <c r="G26" s="17"/>
      <c r="H26" s="17"/>
    </row>
    <row r="27" spans="1:8" s="27" customFormat="1">
      <c r="A27" s="35"/>
      <c r="B27" s="13"/>
      <c r="C27" s="13"/>
      <c r="D27" s="13"/>
      <c r="E27" s="17"/>
      <c r="F27" s="17"/>
      <c r="G27" s="17"/>
      <c r="H27" s="17"/>
    </row>
    <row r="28" spans="1:8" s="27" customFormat="1">
      <c r="A28" s="35"/>
      <c r="B28" s="13"/>
      <c r="C28" s="13"/>
      <c r="D28" s="13"/>
      <c r="E28" s="17"/>
      <c r="F28" s="17"/>
      <c r="G28" s="17"/>
      <c r="H28" s="17"/>
    </row>
    <row r="29" spans="1:8" s="27" customFormat="1">
      <c r="A29" s="32"/>
      <c r="B29" s="20"/>
      <c r="C29" s="13"/>
      <c r="D29" s="13"/>
      <c r="E29" s="17"/>
      <c r="F29" s="17"/>
      <c r="G29" s="17"/>
      <c r="H29" s="17"/>
    </row>
    <row r="30" spans="1:8" s="27" customFormat="1">
      <c r="A30" s="35"/>
      <c r="B30" s="13"/>
      <c r="C30" s="13"/>
      <c r="D30" s="13"/>
      <c r="E30" s="17"/>
      <c r="F30" s="13"/>
      <c r="G30" s="13"/>
      <c r="H30" s="13"/>
    </row>
    <row r="31" spans="1:8" s="27" customFormat="1">
      <c r="A31" s="35"/>
      <c r="B31" s="13"/>
      <c r="C31" s="13"/>
      <c r="D31" s="13"/>
      <c r="E31" s="17"/>
      <c r="F31" s="13"/>
      <c r="G31" s="13"/>
      <c r="H31" s="13"/>
    </row>
    <row r="32" spans="1:8" s="27" customFormat="1">
      <c r="A32" s="36"/>
      <c r="B32" s="13"/>
      <c r="C32" s="13"/>
      <c r="D32" s="13"/>
      <c r="E32" s="13"/>
      <c r="F32" s="13"/>
      <c r="G32" s="13"/>
      <c r="H32" s="13"/>
    </row>
    <row r="33" spans="1:8" s="27" customFormat="1">
      <c r="A33" s="36"/>
      <c r="B33" s="13"/>
      <c r="C33" s="13"/>
      <c r="D33" s="13"/>
      <c r="E33" s="13"/>
      <c r="F33" s="13"/>
      <c r="G33" s="13"/>
      <c r="H33" s="13"/>
    </row>
    <row r="34" spans="1:8" s="27" customFormat="1">
      <c r="A34" s="28"/>
      <c r="B34" s="13"/>
      <c r="C34" s="13"/>
      <c r="D34" s="13"/>
      <c r="E34" s="17"/>
      <c r="F34" s="17"/>
      <c r="G34" s="13"/>
      <c r="H34" s="13"/>
    </row>
    <row r="35" spans="1:8" s="27" customFormat="1">
      <c r="A35" s="28"/>
      <c r="B35" s="13"/>
      <c r="C35" s="13"/>
      <c r="D35" s="13"/>
      <c r="E35" s="17"/>
      <c r="F35" s="17"/>
      <c r="G35" s="13"/>
      <c r="H35" s="13"/>
    </row>
    <row r="36" spans="1:8" s="27" customFormat="1">
      <c r="A36" s="28"/>
      <c r="B36" s="13"/>
      <c r="C36" s="13"/>
      <c r="D36" s="13"/>
      <c r="E36" s="17"/>
      <c r="F36" s="17"/>
      <c r="G36" s="13"/>
      <c r="H36" s="13"/>
    </row>
    <row r="37" spans="1:8" s="27" customFormat="1">
      <c r="A37" s="35"/>
      <c r="B37" s="13"/>
      <c r="C37" s="13"/>
      <c r="D37" s="13"/>
      <c r="E37" s="29"/>
      <c r="F37" s="29"/>
      <c r="G37" s="29"/>
      <c r="H37" s="29"/>
    </row>
    <row r="38" spans="1:8" s="27" customFormat="1">
      <c r="A38" s="35"/>
      <c r="B38" s="13"/>
      <c r="C38" s="13"/>
      <c r="D38" s="13"/>
      <c r="E38" s="29"/>
      <c r="F38" s="29"/>
      <c r="G38" s="13"/>
      <c r="H38" s="13"/>
    </row>
    <row r="39" spans="1:8" s="27" customFormat="1">
      <c r="A39" s="35"/>
      <c r="B39" s="13"/>
      <c r="C39" s="13"/>
      <c r="D39" s="13"/>
      <c r="E39" s="30"/>
      <c r="F39" s="30"/>
      <c r="G39" s="13"/>
      <c r="H39" s="13"/>
    </row>
    <row r="40" spans="1:8" s="27" customFormat="1">
      <c r="A40" s="35"/>
      <c r="B40" s="13"/>
      <c r="C40" s="13"/>
      <c r="D40" s="13"/>
      <c r="E40" s="29"/>
      <c r="F40" s="29"/>
      <c r="G40" s="13"/>
      <c r="H40" s="13"/>
    </row>
    <row r="41" spans="1:8" s="27" customFormat="1">
      <c r="A41" s="35"/>
      <c r="B41" s="13"/>
      <c r="C41" s="13"/>
      <c r="D41" s="13"/>
      <c r="E41" s="13"/>
      <c r="F41" s="13"/>
      <c r="G41" s="31"/>
      <c r="H41" s="31"/>
    </row>
  </sheetData>
  <mergeCells count="1">
    <mergeCell ref="E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568AE1-1697-479F-B769-20F4A80151DF}">
          <x14:formula1>
            <xm:f>'Options for KPI UT Levels'!$B$2:$B$47</xm:f>
          </x14:formula1>
          <xm:sqref>D27 D14 D23:D25 D5:D6 D11 D9 D17:D21</xm:sqref>
        </x14:dataValidation>
        <x14:dataValidation type="list" allowBlank="1" showInputMessage="1" showErrorMessage="1" xr:uid="{6F2776E4-5BD8-4C28-8000-975C2DAE3F7B}">
          <x14:formula1>
            <xm:f>'Options for KPI UT Levels'!$A$2:$A$47</xm:f>
          </x14:formula1>
          <xm:sqref>C3:C41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9566-1117-441D-AD01-143F4A6E9770}">
  <sheetPr>
    <tabColor rgb="FF00B0F0"/>
  </sheetPr>
  <dimension ref="A1:H8"/>
  <sheetViews>
    <sheetView workbookViewId="0">
      <selection activeCell="C8" sqref="C8"/>
    </sheetView>
  </sheetViews>
  <sheetFormatPr defaultRowHeight="15.75"/>
  <cols>
    <col min="1" max="1" width="41.625" customWidth="1"/>
    <col min="2" max="2" width="9.75" customWidth="1"/>
    <col min="3" max="5" width="21.375" customWidth="1"/>
    <col min="6" max="8" width="22.375" customWidth="1"/>
  </cols>
  <sheetData>
    <row r="1" spans="1:8" ht="21">
      <c r="A1" s="33" t="s">
        <v>143</v>
      </c>
      <c r="B1" s="6"/>
      <c r="C1" s="6"/>
      <c r="D1" s="6"/>
      <c r="E1" s="47"/>
      <c r="F1" s="47"/>
      <c r="G1" s="48"/>
      <c r="H1" s="44"/>
    </row>
    <row r="2" spans="1:8">
      <c r="A2" s="34" t="s">
        <v>2</v>
      </c>
      <c r="B2" s="7" t="s">
        <v>4</v>
      </c>
      <c r="C2" s="7" t="s">
        <v>5</v>
      </c>
      <c r="D2" s="7" t="s">
        <v>6</v>
      </c>
      <c r="E2" s="7" t="s">
        <v>103</v>
      </c>
      <c r="F2" s="7" t="s">
        <v>104</v>
      </c>
      <c r="G2" s="7" t="s">
        <v>105</v>
      </c>
      <c r="H2" s="7" t="s">
        <v>106</v>
      </c>
    </row>
    <row r="3" spans="1:8">
      <c r="A3" t="s">
        <v>144</v>
      </c>
      <c r="B3" t="s">
        <v>50</v>
      </c>
    </row>
    <row r="4" spans="1:8">
      <c r="A4" t="s">
        <v>145</v>
      </c>
      <c r="B4" t="s">
        <v>146</v>
      </c>
    </row>
    <row r="5" spans="1:8">
      <c r="A5" t="s">
        <v>147</v>
      </c>
      <c r="B5" t="s">
        <v>148</v>
      </c>
    </row>
    <row r="6" spans="1:8" s="43" customFormat="1">
      <c r="A6" s="43" t="s">
        <v>149</v>
      </c>
      <c r="B6" s="43" t="s">
        <v>150</v>
      </c>
      <c r="C6" s="43" t="s">
        <v>151</v>
      </c>
    </row>
    <row r="7" spans="1:8">
      <c r="A7" t="s">
        <v>152</v>
      </c>
      <c r="B7" t="s">
        <v>153</v>
      </c>
    </row>
    <row r="8" spans="1:8">
      <c r="A8" t="s">
        <v>154</v>
      </c>
      <c r="B8" t="s">
        <v>155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topLeftCell="A18" zoomScaleNormal="100" workbookViewId="0">
      <selection activeCell="B28" sqref="B28"/>
    </sheetView>
  </sheetViews>
  <sheetFormatPr defaultColWidth="10.875" defaultRowHeight="21.95" customHeight="1"/>
  <cols>
    <col min="1" max="1" width="33.5" style="4" bestFit="1" customWidth="1"/>
    <col min="2" max="2" width="47.625" style="2" bestFit="1" customWidth="1"/>
    <col min="3" max="16384" width="10.875" style="2"/>
  </cols>
  <sheetData>
    <row r="1" spans="1:2" ht="21.95" customHeight="1">
      <c r="A1" s="1" t="s">
        <v>5</v>
      </c>
      <c r="B1" s="1" t="s">
        <v>6</v>
      </c>
    </row>
    <row r="2" spans="1:2" ht="21.95" customHeight="1">
      <c r="A2" s="49" t="s">
        <v>14</v>
      </c>
      <c r="B2" s="2" t="s">
        <v>156</v>
      </c>
    </row>
    <row r="3" spans="1:2" ht="21.95" customHeight="1">
      <c r="A3" s="49"/>
      <c r="B3" s="2" t="s">
        <v>15</v>
      </c>
    </row>
    <row r="4" spans="1:2" ht="21.95" customHeight="1">
      <c r="A4" s="49"/>
      <c r="B4" s="2" t="s">
        <v>157</v>
      </c>
    </row>
    <row r="5" spans="1:2" ht="21.95" customHeight="1">
      <c r="A5" s="50"/>
      <c r="B5" s="3" t="s">
        <v>55</v>
      </c>
    </row>
    <row r="6" spans="1:2" ht="21.95" customHeight="1">
      <c r="A6" s="49" t="s">
        <v>18</v>
      </c>
      <c r="B6" s="2" t="s">
        <v>19</v>
      </c>
    </row>
    <row r="7" spans="1:2" ht="21.95" customHeight="1">
      <c r="A7" s="49"/>
      <c r="B7" s="2" t="s">
        <v>158</v>
      </c>
    </row>
    <row r="8" spans="1:2" ht="21.95" customHeight="1">
      <c r="A8" s="50"/>
      <c r="B8" s="3" t="s">
        <v>24</v>
      </c>
    </row>
    <row r="9" spans="1:2" ht="21.95" customHeight="1">
      <c r="A9" s="49" t="s">
        <v>159</v>
      </c>
      <c r="B9" s="2" t="s">
        <v>160</v>
      </c>
    </row>
    <row r="10" spans="1:2" ht="21.95" customHeight="1">
      <c r="A10" s="49"/>
      <c r="B10" s="2" t="s">
        <v>161</v>
      </c>
    </row>
    <row r="11" spans="1:2" ht="21.95" customHeight="1">
      <c r="A11" s="50"/>
      <c r="B11" s="3" t="s">
        <v>162</v>
      </c>
    </row>
    <row r="12" spans="1:2" ht="21.95" customHeight="1">
      <c r="A12" s="49" t="s">
        <v>35</v>
      </c>
      <c r="B12" s="2" t="s">
        <v>163</v>
      </c>
    </row>
    <row r="13" spans="1:2" ht="21.95" customHeight="1">
      <c r="A13" s="49"/>
      <c r="B13" s="2" t="s">
        <v>164</v>
      </c>
    </row>
    <row r="14" spans="1:2" ht="21.95" customHeight="1">
      <c r="A14" s="50"/>
      <c r="B14" s="3" t="s">
        <v>165</v>
      </c>
    </row>
    <row r="15" spans="1:2" ht="21.95" customHeight="1">
      <c r="A15" s="45" t="s">
        <v>166</v>
      </c>
      <c r="B15" s="3" t="s">
        <v>167</v>
      </c>
    </row>
    <row r="16" spans="1:2" ht="21.95" customHeight="1">
      <c r="A16" s="49" t="s">
        <v>168</v>
      </c>
      <c r="B16" s="2" t="s">
        <v>169</v>
      </c>
    </row>
    <row r="17" spans="1:2" ht="21.95" customHeight="1">
      <c r="A17" s="49"/>
      <c r="B17" s="2" t="s">
        <v>170</v>
      </c>
    </row>
    <row r="18" spans="1:2" ht="21.95" customHeight="1">
      <c r="A18" s="49"/>
      <c r="B18" s="2" t="s">
        <v>171</v>
      </c>
    </row>
    <row r="19" spans="1:2" ht="21.95" customHeight="1">
      <c r="A19" s="50"/>
      <c r="B19" s="3" t="s">
        <v>172</v>
      </c>
    </row>
    <row r="20" spans="1:2" ht="21.95" customHeight="1">
      <c r="A20" s="45" t="s">
        <v>173</v>
      </c>
      <c r="B20" s="3" t="s">
        <v>174</v>
      </c>
    </row>
    <row r="21" spans="1:2" ht="21.95" customHeight="1">
      <c r="A21" s="49" t="s">
        <v>175</v>
      </c>
      <c r="B21" s="2" t="s">
        <v>176</v>
      </c>
    </row>
    <row r="22" spans="1:2" ht="21.95" customHeight="1">
      <c r="A22" s="49"/>
      <c r="B22" s="2" t="s">
        <v>177</v>
      </c>
    </row>
    <row r="23" spans="1:2" ht="21.95" customHeight="1">
      <c r="A23" s="50"/>
      <c r="B23" s="3" t="s">
        <v>178</v>
      </c>
    </row>
    <row r="24" spans="1:2" ht="21.95" customHeight="1">
      <c r="A24" s="49" t="s">
        <v>109</v>
      </c>
      <c r="B24" s="2" t="s">
        <v>179</v>
      </c>
    </row>
    <row r="25" spans="1:2" ht="21.95" customHeight="1">
      <c r="A25" s="49"/>
      <c r="B25" s="2" t="s">
        <v>180</v>
      </c>
    </row>
    <row r="26" spans="1:2" ht="21.95" customHeight="1">
      <c r="A26" s="49"/>
      <c r="B26" s="2" t="s">
        <v>181</v>
      </c>
    </row>
    <row r="27" spans="1:2" ht="21.95" customHeight="1">
      <c r="A27" s="49"/>
      <c r="B27" s="2" t="s">
        <v>182</v>
      </c>
    </row>
    <row r="28" spans="1:2" ht="21.95" customHeight="1">
      <c r="A28" s="49"/>
      <c r="B28" s="2" t="s">
        <v>141</v>
      </c>
    </row>
    <row r="29" spans="1:2" ht="21.95" customHeight="1">
      <c r="A29" s="49"/>
      <c r="B29" s="2" t="s">
        <v>116</v>
      </c>
    </row>
    <row r="30" spans="1:2" ht="21.95" customHeight="1">
      <c r="A30" s="49"/>
      <c r="B30" s="2" t="s">
        <v>110</v>
      </c>
    </row>
    <row r="31" spans="1:2" ht="21.95" customHeight="1">
      <c r="A31" s="50"/>
      <c r="B31" s="3" t="s">
        <v>183</v>
      </c>
    </row>
    <row r="32" spans="1:2" ht="21.95" customHeight="1">
      <c r="A32" s="49" t="s">
        <v>184</v>
      </c>
      <c r="B32" s="2" t="s">
        <v>185</v>
      </c>
    </row>
    <row r="33" spans="1:2" ht="21.95" customHeight="1">
      <c r="A33" s="49"/>
      <c r="B33" s="2" t="s">
        <v>186</v>
      </c>
    </row>
    <row r="34" spans="1:2" ht="21.95" customHeight="1">
      <c r="A34" s="49"/>
      <c r="B34" s="2" t="s">
        <v>187</v>
      </c>
    </row>
    <row r="35" spans="1:2" ht="21.95" customHeight="1">
      <c r="A35" s="49"/>
      <c r="B35" s="2" t="s">
        <v>188</v>
      </c>
    </row>
    <row r="36" spans="1:2" ht="21.95" customHeight="1">
      <c r="A36" s="49"/>
      <c r="B36" s="2" t="s">
        <v>189</v>
      </c>
    </row>
    <row r="37" spans="1:2" ht="21.95" customHeight="1">
      <c r="A37" s="49"/>
      <c r="B37" s="2" t="s">
        <v>190</v>
      </c>
    </row>
    <row r="38" spans="1:2" ht="21.95" customHeight="1">
      <c r="A38" s="49"/>
      <c r="B38" s="2" t="s">
        <v>191</v>
      </c>
    </row>
    <row r="39" spans="1:2" ht="21.95" customHeight="1">
      <c r="A39" s="50"/>
      <c r="B39" s="3" t="s">
        <v>192</v>
      </c>
    </row>
    <row r="40" spans="1:2" ht="21.95" customHeight="1">
      <c r="A40" s="45" t="s">
        <v>193</v>
      </c>
      <c r="B40" s="3" t="s">
        <v>194</v>
      </c>
    </row>
    <row r="41" spans="1:2" ht="21.95" customHeight="1">
      <c r="A41" s="49" t="s">
        <v>195</v>
      </c>
      <c r="B41" s="2" t="s">
        <v>196</v>
      </c>
    </row>
    <row r="42" spans="1:2" ht="21.95" customHeight="1">
      <c r="A42" s="50"/>
      <c r="B42" s="3" t="s">
        <v>197</v>
      </c>
    </row>
    <row r="43" spans="1:2" ht="21.95" customHeight="1">
      <c r="A43" s="49" t="s">
        <v>198</v>
      </c>
      <c r="B43" s="2" t="s">
        <v>199</v>
      </c>
    </row>
    <row r="44" spans="1:2" ht="21.95" customHeight="1">
      <c r="A44" s="50"/>
      <c r="B44" s="3" t="s">
        <v>200</v>
      </c>
    </row>
    <row r="45" spans="1:2" ht="21.95" customHeight="1">
      <c r="A45" s="49" t="s">
        <v>201</v>
      </c>
      <c r="B45" s="2" t="s">
        <v>202</v>
      </c>
    </row>
    <row r="46" spans="1:2" ht="21.95" customHeight="1">
      <c r="A46" s="49"/>
      <c r="B46" s="2" t="s">
        <v>203</v>
      </c>
    </row>
    <row r="47" spans="1:2" ht="21.95" customHeight="1">
      <c r="A47" s="50"/>
      <c r="B47" s="3" t="s">
        <v>204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6B58-FD9D-48B3-B772-0E775FEA5E66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B5" sqref="B5"/>
    </sheetView>
  </sheetViews>
  <sheetFormatPr defaultColWidth="8.875" defaultRowHeight="15.95"/>
  <cols>
    <col min="1" max="1" width="24.875" customWidth="1"/>
  </cols>
  <sheetData>
    <row r="1" spans="1:5">
      <c r="A1" s="8"/>
      <c r="B1" s="51" t="s">
        <v>205</v>
      </c>
      <c r="C1" s="51"/>
      <c r="D1" s="51"/>
      <c r="E1" s="51"/>
    </row>
    <row r="2" spans="1:5">
      <c r="A2" s="9"/>
      <c r="B2" s="10" t="s">
        <v>206</v>
      </c>
      <c r="C2" s="10" t="s">
        <v>207</v>
      </c>
      <c r="D2" s="10" t="s">
        <v>208</v>
      </c>
      <c r="E2" s="10" t="s">
        <v>209</v>
      </c>
    </row>
    <row r="3" spans="1:5">
      <c r="A3" s="11" t="s">
        <v>210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211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212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56308CB8-6F41-47A1-A7FA-F6896EEA67B8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Daniel De Sousa</cp:lastModifiedBy>
  <cp:revision/>
  <dcterms:created xsi:type="dcterms:W3CDTF">2026-02-19T16:21:33Z</dcterms:created>
  <dcterms:modified xsi:type="dcterms:W3CDTF">2026-07-31T15:08:32Z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