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/Users/angelawarner/Library/Mobile Documents/com~apple~CloudDocs/Documents/"/>
    </mc:Choice>
  </mc:AlternateContent>
  <xr:revisionPtr revIDLastSave="157" documentId="8_{49C28046-0FB1-5A43-82D2-E8ECEF4DF182}" xr6:coauthVersionLast="47" xr6:coauthVersionMax="47" xr10:uidLastSave="{4C9E8807-5B84-4C1B-BF84-FCBF18177A0B}"/>
  <bookViews>
    <workbookView xWindow="0" yWindow="0" windowWidth="38400" windowHeight="21600" firstSheet="1" activeTab="1" xr2:uid="{34DAB5B8-0534-154D-B765-6F9AFE0242E3}"/>
  </bookViews>
  <sheets>
    <sheet name="Q2 Projections" sheetId="2" r:id="rId1"/>
    <sheet name="Q3 Projections" sheetId="4" r:id="rId2"/>
    <sheet name="Q4 Projections" sheetId="5" r:id="rId3"/>
    <sheet name="Options for KPI UT Levels" sheetId="1" r:id="rId4"/>
    <sheet name="Sheet1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4" l="1"/>
  <c r="I12" i="4"/>
  <c r="I11" i="4"/>
  <c r="I9" i="4"/>
  <c r="I8" i="4"/>
  <c r="I7" i="4"/>
  <c r="I7" i="5"/>
  <c r="I8" i="5"/>
  <c r="I9" i="5"/>
  <c r="I6" i="5"/>
  <c r="I5" i="5"/>
  <c r="I4" i="5"/>
  <c r="I3" i="5"/>
  <c r="I10" i="5"/>
  <c r="I17" i="4"/>
  <c r="I16" i="4"/>
  <c r="I15" i="4"/>
  <c r="I5" i="4"/>
  <c r="I4" i="4"/>
  <c r="I3" i="4"/>
  <c r="I24" i="2"/>
  <c r="I23" i="2"/>
  <c r="I22" i="2"/>
  <c r="I21" i="2"/>
  <c r="I17" i="2"/>
  <c r="I20" i="2"/>
  <c r="I19" i="2"/>
  <c r="I28" i="2"/>
  <c r="I27" i="2"/>
  <c r="I26" i="2"/>
  <c r="I16" i="2"/>
  <c r="I15" i="2"/>
  <c r="I13" i="2"/>
  <c r="I12" i="2"/>
  <c r="I14" i="2"/>
  <c r="I11" i="2"/>
  <c r="I10" i="2"/>
  <c r="I9" i="2"/>
  <c r="I5" i="2"/>
  <c r="I4" i="2"/>
  <c r="I18" i="2"/>
  <c r="I8" i="2"/>
  <c r="I7" i="2"/>
  <c r="I6" i="2"/>
  <c r="I3" i="2"/>
</calcChain>
</file>

<file path=xl/sharedStrings.xml><?xml version="1.0" encoding="utf-8"?>
<sst xmlns="http://schemas.openxmlformats.org/spreadsheetml/2006/main" count="221" uniqueCount="105">
  <si>
    <t>US Federal Market Q2 KPI Projections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</si>
  <si>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</si>
  <si>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</si>
  <si>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</si>
  <si>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</si>
  <si>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</si>
  <si>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</si>
  <si>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</si>
  <si>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</si>
  <si>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Totals</t>
  </si>
  <si>
    <t>AI Week - AI Talks 2026</t>
  </si>
  <si>
    <t>6XYOAIMB</t>
  </si>
  <si>
    <t>Data Platform</t>
  </si>
  <si>
    <t>AI/ML Ops</t>
  </si>
  <si>
    <t>Data Fabric</t>
  </si>
  <si>
    <t>Strategy &amp; Technology</t>
  </si>
  <si>
    <t>Hybrid Cloud &amp; Data</t>
  </si>
  <si>
    <t>Fed Showcase Innovation Studio DC</t>
  </si>
  <si>
    <t>DXNNFGMB</t>
  </si>
  <si>
    <t>AI Productivity</t>
  </si>
  <si>
    <t>Public Sector Network - IBM Executive Briefing Lunch &amp; Roundtable Series (Spring)</t>
  </si>
  <si>
    <t>B8D1XOMB</t>
  </si>
  <si>
    <t>Public Sector Network - IBM Executive Briefing Lunch &amp; Roundtable Series (Fall)</t>
  </si>
  <si>
    <t>YOVGQVMB</t>
  </si>
  <si>
    <t>NLIT Summit 2026</t>
  </si>
  <si>
    <t>LNHDQLMB</t>
  </si>
  <si>
    <t>Border Security Expo 2026</t>
  </si>
  <si>
    <t>QTC0XQMB</t>
  </si>
  <si>
    <t>AFCEA Health IT Summit</t>
  </si>
  <si>
    <t>HXC8C3MB</t>
  </si>
  <si>
    <t>Think Gov 2026</t>
  </si>
  <si>
    <t>G4IWJCMB</t>
  </si>
  <si>
    <t>Automation Platform</t>
  </si>
  <si>
    <t>Infrastructure Automation</t>
  </si>
  <si>
    <t>Security Threat Management</t>
  </si>
  <si>
    <t>Quantum</t>
  </si>
  <si>
    <t>Quantum Market</t>
  </si>
  <si>
    <t>Z HW</t>
  </si>
  <si>
    <t>IBM Z and LinuxONE Hardware</t>
  </si>
  <si>
    <t>Think Gov 2026 - Baseball Tours - Satelitte Event (Not lead generating)</t>
  </si>
  <si>
    <t>M93251MB</t>
  </si>
  <si>
    <t>GEOINT 2026</t>
  </si>
  <si>
    <t>5NRMEHMB</t>
  </si>
  <si>
    <t>US Federal Market Q3 KPI Projections</t>
  </si>
  <si>
    <t>Air, Space and Cyber 2026</t>
  </si>
  <si>
    <t>C0UGGJMB</t>
  </si>
  <si>
    <t>Tribal Net</t>
  </si>
  <si>
    <t>Technology Business Management</t>
  </si>
  <si>
    <t>Storage HW</t>
  </si>
  <si>
    <t>Storage for Data Resiliency Market</t>
  </si>
  <si>
    <t>DHITS</t>
  </si>
  <si>
    <t>KK046EMB</t>
  </si>
  <si>
    <t>Application Development &amp; Integration</t>
  </si>
  <si>
    <t>Strategy &amp; Transformation</t>
  </si>
  <si>
    <t>Fedscoop FedTalk 2026</t>
  </si>
  <si>
    <t>KJIGCKMB</t>
  </si>
  <si>
    <t>AUSA Annual 2026</t>
  </si>
  <si>
    <t>ABT6O8MB</t>
  </si>
  <si>
    <t>Intelligent Operations</t>
  </si>
  <si>
    <t>Application Operations</t>
  </si>
  <si>
    <t>Cybersecurity</t>
  </si>
  <si>
    <t>Business Operations</t>
  </si>
  <si>
    <t>Power HW</t>
  </si>
  <si>
    <t>AIX / IBM i Market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</si>
  <si>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</si>
  <si>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</si>
  <si>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</si>
  <si>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</si>
  <si>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</si>
  <si>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</si>
  <si>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IaaS</t>
  </si>
  <si>
    <t>Public Cloud PaaS</t>
  </si>
  <si>
    <t>Public Cloud TEL &amp; Support</t>
  </si>
  <si>
    <t>Business Applications</t>
  </si>
  <si>
    <t>Storage Networking Market</t>
  </si>
  <si>
    <t>Storage Operations / Services Market</t>
  </si>
  <si>
    <t>Storage Tape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</si>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</sst>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_([$$-409]* #,##0_);_([$$-409]* \(#,##0\);_([$$-409]* &quot;-&quot;??_);_(@_)"/>
  </numFmts>
  <fonts count="10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0"/>
      <color rgb="FF000000"/>
      <name val="Tahoma"/>
      <family val="2"/>
    </font>
    <font>
      <sz val="12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164" fontId="0" fillId="0" borderId="0" xfId="0" applyNumberFormat="1" applyAlignment="1">
      <alignment vertical="center"/>
    </xf>
    <xf numFmtId="164" fontId="8" fillId="0" borderId="0" xfId="0" applyNumberFormat="1" applyFont="1" applyAlignment="1">
      <alignment vertical="center"/>
    </xf>
    <xf numFmtId="3" fontId="0" fillId="0" borderId="2" xfId="0" applyNumberFormat="1" applyBorder="1"/>
    <xf numFmtId="165" fontId="5" fillId="3" borderId="2" xfId="0" applyNumberFormat="1" applyFont="1" applyFill="1" applyBorder="1"/>
    <xf numFmtId="165" fontId="4" fillId="0" borderId="2" xfId="0" applyNumberFormat="1" applyFont="1" applyBorder="1"/>
    <xf numFmtId="165" fontId="0" fillId="0" borderId="2" xfId="0" applyNumberFormat="1" applyBorder="1"/>
    <xf numFmtId="165" fontId="0" fillId="0" borderId="0" xfId="0" applyNumberFormat="1" applyAlignment="1">
      <alignment vertical="center"/>
    </xf>
    <xf numFmtId="165" fontId="8" fillId="0" borderId="0" xfId="0" applyNumberFormat="1" applyFont="1" applyAlignment="1">
      <alignment vertical="center"/>
    </xf>
    <xf numFmtId="165" fontId="0" fillId="0" borderId="0" xfId="0" applyNumberFormat="1"/>
    <xf numFmtId="0" fontId="0" fillId="6" borderId="2" xfId="0" applyFill="1" applyBorder="1"/>
    <xf numFmtId="0" fontId="5" fillId="3" borderId="4" xfId="0" applyFont="1" applyFill="1" applyBorder="1"/>
    <xf numFmtId="165" fontId="5" fillId="3" borderId="4" xfId="0" applyNumberFormat="1" applyFont="1" applyFill="1" applyBorder="1"/>
    <xf numFmtId="0" fontId="0" fillId="0" borderId="4" xfId="0" applyBorder="1"/>
    <xf numFmtId="0" fontId="4" fillId="0" borderId="4" xfId="0" applyFont="1" applyBorder="1"/>
    <xf numFmtId="165" fontId="4" fillId="0" borderId="4" xfId="0" applyNumberFormat="1" applyFont="1" applyBorder="1"/>
    <xf numFmtId="0" fontId="0" fillId="0" borderId="0" xfId="0" applyBorder="1"/>
    <xf numFmtId="3" fontId="0" fillId="0" borderId="4" xfId="0" applyNumberFormat="1" applyBorder="1"/>
    <xf numFmtId="6" fontId="8" fillId="0" borderId="0" xfId="0" applyNumberFormat="1" applyFont="1" applyFill="1" applyBorder="1" applyAlignment="1"/>
    <xf numFmtId="6" fontId="0" fillId="0" borderId="4" xfId="0" applyNumberFormat="1" applyBorder="1"/>
    <xf numFmtId="0" fontId="0" fillId="7" borderId="4" xfId="0" applyFill="1" applyBorder="1"/>
    <xf numFmtId="0" fontId="0" fillId="7" borderId="2" xfId="0" applyFill="1" applyBorder="1"/>
    <xf numFmtId="0" fontId="0" fillId="7" borderId="0" xfId="0" applyFill="1" applyBorder="1"/>
    <xf numFmtId="0" fontId="9" fillId="0" borderId="2" xfId="0" applyFont="1" applyBorder="1"/>
    <xf numFmtId="0" fontId="9" fillId="7" borderId="2" xfId="0" applyFont="1" applyFill="1" applyBorder="1"/>
    <xf numFmtId="3" fontId="9" fillId="0" borderId="2" xfId="0" applyNumberFormat="1" applyFont="1" applyBorder="1"/>
    <xf numFmtId="0" fontId="9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65" fontId="0" fillId="0" borderId="0" xfId="0" applyNumberFormat="1" applyBorder="1"/>
    <xf numFmtId="0" fontId="0" fillId="0" borderId="5" xfId="0" applyBorder="1"/>
    <xf numFmtId="165" fontId="0" fillId="0" borderId="6" xfId="0" applyNumberFormat="1" applyBorder="1" applyAlignment="1">
      <alignment vertical="center"/>
    </xf>
    <xf numFmtId="165" fontId="0" fillId="0" borderId="5" xfId="0" applyNumberFormat="1" applyBorder="1"/>
    <xf numFmtId="0" fontId="0" fillId="0" borderId="7" xfId="0" applyBorder="1"/>
    <xf numFmtId="165" fontId="0" fillId="0" borderId="7" xfId="0" applyNumberFormat="1" applyBorder="1"/>
    <xf numFmtId="165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I28"/>
  <sheetViews>
    <sheetView workbookViewId="0">
      <selection activeCell="C7" sqref="C7:I7"/>
    </sheetView>
  </sheetViews>
  <sheetFormatPr defaultColWidth="8.625" defaultRowHeight="15.95"/>
  <cols>
    <col min="1" max="1" width="43.25" style="5" customWidth="1"/>
    <col min="2" max="2" width="19.375" style="5" customWidth="1"/>
    <col min="3" max="4" width="24.5" style="5" customWidth="1"/>
    <col min="5" max="8" width="18.125" style="5" customWidth="1"/>
    <col min="9" max="9" width="12.875" style="5" customWidth="1"/>
    <col min="10" max="16384" width="8.625" style="5"/>
  </cols>
  <sheetData>
    <row r="1" spans="1:9" s="6" customFormat="1" ht="21.95">
      <c r="A1" s="6" t="s">
        <v>0</v>
      </c>
    </row>
    <row r="2" spans="1:9" s="7" customForma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9">
      <c r="A3" s="5" t="s">
        <v>10</v>
      </c>
      <c r="B3" s="5" t="s">
        <v>11</v>
      </c>
      <c r="C3" s="5" t="s">
        <v>12</v>
      </c>
      <c r="D3" s="5" t="s">
        <v>13</v>
      </c>
      <c r="E3" s="15">
        <v>23800</v>
      </c>
      <c r="F3" s="15">
        <v>32200</v>
      </c>
      <c r="G3" s="15">
        <v>35000</v>
      </c>
      <c r="H3" s="15">
        <v>49000</v>
      </c>
      <c r="I3" s="5">
        <f>SUM(E3:H3)</f>
        <v>140000</v>
      </c>
    </row>
    <row r="4" spans="1:9">
      <c r="C4" s="5" t="s">
        <v>12</v>
      </c>
      <c r="D4" s="5" t="s">
        <v>14</v>
      </c>
      <c r="E4" s="15">
        <v>22100</v>
      </c>
      <c r="F4" s="15">
        <v>29900</v>
      </c>
      <c r="G4" s="15">
        <v>32500</v>
      </c>
      <c r="H4" s="15">
        <v>45500</v>
      </c>
      <c r="I4" s="5">
        <f>SUM(E4:H4)</f>
        <v>130000</v>
      </c>
    </row>
    <row r="5" spans="1:9">
      <c r="C5" s="5" t="s">
        <v>15</v>
      </c>
      <c r="D5" s="5" t="s">
        <v>16</v>
      </c>
      <c r="E5" s="15">
        <v>141100</v>
      </c>
      <c r="F5" s="15">
        <v>190900</v>
      </c>
      <c r="G5" s="15">
        <v>207500</v>
      </c>
      <c r="H5" s="15">
        <v>290500</v>
      </c>
      <c r="I5" s="5">
        <f>SUM(E5:H5)</f>
        <v>830000</v>
      </c>
    </row>
    <row r="6" spans="1:9">
      <c r="A6" s="5" t="s">
        <v>17</v>
      </c>
      <c r="B6" s="5" t="s">
        <v>18</v>
      </c>
      <c r="C6" s="5" t="s">
        <v>12</v>
      </c>
      <c r="D6" s="5" t="s">
        <v>19</v>
      </c>
      <c r="E6" s="15">
        <v>85000</v>
      </c>
      <c r="F6" s="15">
        <v>115000</v>
      </c>
      <c r="G6" s="15">
        <v>125000</v>
      </c>
      <c r="H6" s="15">
        <v>175000</v>
      </c>
      <c r="I6" s="5">
        <f t="shared" ref="I6:I19" si="0">SUM(E6:H6)</f>
        <v>500000</v>
      </c>
    </row>
    <row r="7" spans="1:9">
      <c r="A7" s="5" t="s">
        <v>20</v>
      </c>
      <c r="B7" s="5" t="s">
        <v>21</v>
      </c>
      <c r="C7" s="5" t="s">
        <v>12</v>
      </c>
      <c r="D7" s="5" t="s">
        <v>14</v>
      </c>
      <c r="E7" s="15">
        <v>170000</v>
      </c>
      <c r="F7" s="15">
        <v>230000</v>
      </c>
      <c r="G7" s="15">
        <v>250000</v>
      </c>
      <c r="H7" s="15">
        <v>350000</v>
      </c>
      <c r="I7" s="5">
        <f t="shared" si="0"/>
        <v>1000000</v>
      </c>
    </row>
    <row r="8" spans="1:9">
      <c r="A8" s="5" t="s">
        <v>22</v>
      </c>
      <c r="B8" s="5" t="s">
        <v>23</v>
      </c>
      <c r="C8" s="5" t="s">
        <v>12</v>
      </c>
      <c r="D8" s="5" t="s">
        <v>14</v>
      </c>
      <c r="E8" s="15">
        <v>170000</v>
      </c>
      <c r="F8" s="15">
        <v>230000</v>
      </c>
      <c r="G8" s="15">
        <v>250000</v>
      </c>
      <c r="H8" s="15">
        <v>350000</v>
      </c>
      <c r="I8" s="5">
        <f t="shared" si="0"/>
        <v>1000000</v>
      </c>
    </row>
    <row r="9" spans="1:9">
      <c r="A9" s="5" t="s">
        <v>24</v>
      </c>
      <c r="B9" s="5" t="s">
        <v>25</v>
      </c>
      <c r="C9" s="5" t="s">
        <v>12</v>
      </c>
      <c r="D9" s="5" t="s">
        <v>13</v>
      </c>
      <c r="E9" s="15">
        <v>23800</v>
      </c>
      <c r="F9" s="15">
        <v>32200</v>
      </c>
      <c r="G9" s="15">
        <v>35000</v>
      </c>
      <c r="H9" s="15">
        <v>49000</v>
      </c>
      <c r="I9" s="5">
        <f>SUM(E9:H9)</f>
        <v>140000</v>
      </c>
    </row>
    <row r="10" spans="1:9">
      <c r="C10" s="5" t="s">
        <v>12</v>
      </c>
      <c r="D10" s="5" t="s">
        <v>14</v>
      </c>
      <c r="E10" s="15">
        <v>22100</v>
      </c>
      <c r="F10" s="15">
        <v>29900</v>
      </c>
      <c r="G10" s="15">
        <v>32500</v>
      </c>
      <c r="H10" s="15">
        <v>45500</v>
      </c>
      <c r="I10" s="5">
        <f>SUM(E10:H10)</f>
        <v>130000</v>
      </c>
    </row>
    <row r="11" spans="1:9">
      <c r="C11" s="5" t="s">
        <v>15</v>
      </c>
      <c r="D11" s="5" t="s">
        <v>16</v>
      </c>
      <c r="E11" s="15">
        <v>141100</v>
      </c>
      <c r="F11" s="15">
        <v>190900</v>
      </c>
      <c r="G11" s="15">
        <v>207500</v>
      </c>
      <c r="H11" s="15">
        <v>290500</v>
      </c>
      <c r="I11" s="5">
        <f>SUM(E11:H11)</f>
        <v>830000</v>
      </c>
    </row>
    <row r="12" spans="1:9">
      <c r="A12" s="5" t="s">
        <v>26</v>
      </c>
      <c r="B12" s="5" t="s">
        <v>27</v>
      </c>
      <c r="C12" s="5" t="s">
        <v>12</v>
      </c>
      <c r="D12" s="5" t="s">
        <v>13</v>
      </c>
      <c r="E12" s="13">
        <v>29197</v>
      </c>
      <c r="F12" s="13">
        <v>39501</v>
      </c>
      <c r="G12" s="13">
        <v>42936</v>
      </c>
      <c r="H12" s="13">
        <v>60111</v>
      </c>
      <c r="I12" s="5">
        <f>SUM(E12:H12)</f>
        <v>171745</v>
      </c>
    </row>
    <row r="13" spans="1:9">
      <c r="C13" s="5" t="s">
        <v>12</v>
      </c>
      <c r="D13" s="5" t="s">
        <v>14</v>
      </c>
      <c r="E13" s="13">
        <v>26434</v>
      </c>
      <c r="F13" s="13">
        <v>35764</v>
      </c>
      <c r="G13" s="13">
        <v>38874</v>
      </c>
      <c r="H13" s="13">
        <v>54424</v>
      </c>
      <c r="I13" s="5">
        <f>SUM(E13:H13)</f>
        <v>155496</v>
      </c>
    </row>
    <row r="14" spans="1:9">
      <c r="C14" s="5" t="s">
        <v>15</v>
      </c>
      <c r="D14" s="5" t="s">
        <v>16</v>
      </c>
      <c r="E14" s="13">
        <v>49223</v>
      </c>
      <c r="F14" s="13">
        <v>147669</v>
      </c>
      <c r="G14" s="13">
        <v>196893</v>
      </c>
      <c r="H14" s="13">
        <v>590679</v>
      </c>
      <c r="I14" s="5">
        <f>SUM(E14:H14)</f>
        <v>984464</v>
      </c>
    </row>
    <row r="15" spans="1:9">
      <c r="A15" s="5" t="s">
        <v>28</v>
      </c>
      <c r="B15" s="5" t="s">
        <v>29</v>
      </c>
      <c r="C15" s="5" t="s">
        <v>12</v>
      </c>
      <c r="D15" s="5" t="s">
        <v>13</v>
      </c>
      <c r="E15" s="15">
        <v>23800</v>
      </c>
      <c r="F15" s="15">
        <v>32200</v>
      </c>
      <c r="G15" s="15">
        <v>35000</v>
      </c>
      <c r="H15" s="15">
        <v>49000</v>
      </c>
      <c r="I15" s="5">
        <f>SUM(E15:H15)</f>
        <v>140000</v>
      </c>
    </row>
    <row r="16" spans="1:9">
      <c r="C16" s="5" t="s">
        <v>12</v>
      </c>
      <c r="D16" s="5" t="s">
        <v>14</v>
      </c>
      <c r="E16" s="15">
        <v>22100</v>
      </c>
      <c r="F16" s="15">
        <v>29900</v>
      </c>
      <c r="G16" s="15">
        <v>32500</v>
      </c>
      <c r="H16" s="15">
        <v>45500</v>
      </c>
      <c r="I16" s="5">
        <f>SUM(E16:H16)</f>
        <v>130000</v>
      </c>
    </row>
    <row r="17" spans="1:9">
      <c r="C17" s="5" t="s">
        <v>15</v>
      </c>
      <c r="D17" s="5" t="s">
        <v>16</v>
      </c>
      <c r="E17" s="15">
        <v>141100</v>
      </c>
      <c r="F17" s="15">
        <v>190900</v>
      </c>
      <c r="G17" s="15">
        <v>207500</v>
      </c>
      <c r="H17" s="15">
        <v>290500</v>
      </c>
      <c r="I17" s="5">
        <f>SUM(E17:H17)</f>
        <v>830000</v>
      </c>
    </row>
    <row r="18" spans="1:9">
      <c r="A18" s="5" t="s">
        <v>30</v>
      </c>
      <c r="B18" s="5" t="s">
        <v>31</v>
      </c>
      <c r="C18" s="5" t="s">
        <v>12</v>
      </c>
      <c r="D18" s="5" t="s">
        <v>13</v>
      </c>
      <c r="E18" s="15">
        <v>476000</v>
      </c>
      <c r="F18" s="15">
        <v>644000</v>
      </c>
      <c r="G18" s="15">
        <v>700000</v>
      </c>
      <c r="H18" s="15">
        <v>980000</v>
      </c>
      <c r="I18" s="5">
        <f t="shared" si="0"/>
        <v>2800000</v>
      </c>
    </row>
    <row r="19" spans="1:9">
      <c r="C19" s="5" t="s">
        <v>12</v>
      </c>
      <c r="D19" s="5" t="s">
        <v>14</v>
      </c>
      <c r="E19" s="15">
        <v>442000</v>
      </c>
      <c r="F19" s="15">
        <v>598000</v>
      </c>
      <c r="G19" s="15">
        <v>650000</v>
      </c>
      <c r="H19" s="15">
        <v>910000</v>
      </c>
      <c r="I19" s="5">
        <f t="shared" si="0"/>
        <v>2600000</v>
      </c>
    </row>
    <row r="20" spans="1:9">
      <c r="C20" s="5" t="s">
        <v>15</v>
      </c>
      <c r="D20" s="5" t="s">
        <v>16</v>
      </c>
      <c r="E20" s="15">
        <v>1700000</v>
      </c>
      <c r="F20" s="15">
        <v>2300000</v>
      </c>
      <c r="G20" s="15">
        <v>2500000</v>
      </c>
      <c r="H20" s="15">
        <v>3500000</v>
      </c>
      <c r="I20" s="5">
        <f>SUM(E20:H20)</f>
        <v>10000000</v>
      </c>
    </row>
    <row r="21" spans="1:9">
      <c r="C21" s="5" t="s">
        <v>32</v>
      </c>
      <c r="D21" s="5" t="s">
        <v>33</v>
      </c>
      <c r="E21" s="15">
        <v>476000</v>
      </c>
      <c r="F21" s="15">
        <v>644000</v>
      </c>
      <c r="G21" s="15">
        <v>700000</v>
      </c>
      <c r="H21" s="15">
        <v>980000</v>
      </c>
      <c r="I21" s="5">
        <f>SUM(E21:H21)</f>
        <v>2800000</v>
      </c>
    </row>
    <row r="22" spans="1:9">
      <c r="C22" s="5" t="s">
        <v>32</v>
      </c>
      <c r="D22" s="5" t="s">
        <v>34</v>
      </c>
      <c r="E22" s="15">
        <v>442000</v>
      </c>
      <c r="F22" s="15">
        <v>598000</v>
      </c>
      <c r="G22" s="15">
        <v>650000</v>
      </c>
      <c r="H22" s="15">
        <v>910000</v>
      </c>
      <c r="I22" s="5">
        <f>SUM(E22:H22)</f>
        <v>2600000</v>
      </c>
    </row>
    <row r="23" spans="1:9">
      <c r="C23" s="5" t="s">
        <v>35</v>
      </c>
      <c r="D23" s="5" t="s">
        <v>36</v>
      </c>
      <c r="E23" s="15">
        <v>476000</v>
      </c>
      <c r="F23" s="15">
        <v>644000</v>
      </c>
      <c r="G23" s="15">
        <v>700000</v>
      </c>
      <c r="H23" s="15">
        <v>980000</v>
      </c>
      <c r="I23" s="5">
        <f>SUM(E23:H23)</f>
        <v>2800000</v>
      </c>
    </row>
    <row r="24" spans="1:9">
      <c r="C24" s="5" t="s">
        <v>37</v>
      </c>
      <c r="D24" s="5" t="s">
        <v>38</v>
      </c>
      <c r="E24" s="15">
        <v>442000</v>
      </c>
      <c r="F24" s="15">
        <v>598000</v>
      </c>
      <c r="G24" s="15">
        <v>650000</v>
      </c>
      <c r="H24" s="15">
        <v>910000</v>
      </c>
      <c r="I24" s="5">
        <f>SUM(E24:H24)</f>
        <v>2600000</v>
      </c>
    </row>
    <row r="25" spans="1:9">
      <c r="A25" s="5" t="s">
        <v>39</v>
      </c>
      <c r="B25" s="5" t="s">
        <v>40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>
      <c r="A26" s="5" t="s">
        <v>41</v>
      </c>
      <c r="B26" s="5" t="s">
        <v>42</v>
      </c>
      <c r="C26" s="5" t="s">
        <v>15</v>
      </c>
      <c r="D26" s="5" t="s">
        <v>16</v>
      </c>
      <c r="E26" s="14">
        <v>200040</v>
      </c>
      <c r="F26" s="14">
        <v>600121</v>
      </c>
      <c r="G26" s="14">
        <v>800161</v>
      </c>
      <c r="H26" s="14">
        <v>2400484</v>
      </c>
      <c r="I26" s="5">
        <f>SUM(E26:H26)</f>
        <v>4000806</v>
      </c>
    </row>
    <row r="27" spans="1:9">
      <c r="C27" s="5" t="s">
        <v>12</v>
      </c>
      <c r="D27" s="5" t="s">
        <v>13</v>
      </c>
      <c r="E27" s="14">
        <v>118655</v>
      </c>
      <c r="F27" s="14">
        <v>160534</v>
      </c>
      <c r="G27" s="14">
        <v>174493</v>
      </c>
      <c r="H27" s="14">
        <v>244290</v>
      </c>
      <c r="I27" s="5">
        <f>SUM(E27:H27)</f>
        <v>697972</v>
      </c>
    </row>
    <row r="28" spans="1:9">
      <c r="C28" s="5" t="s">
        <v>12</v>
      </c>
      <c r="D28" s="5" t="s">
        <v>14</v>
      </c>
      <c r="E28" s="14">
        <v>107429</v>
      </c>
      <c r="F28" s="14">
        <v>145345</v>
      </c>
      <c r="G28" s="14">
        <v>157984</v>
      </c>
      <c r="H28" s="14">
        <v>221177</v>
      </c>
      <c r="I28" s="5">
        <f>SUM(E28:H28)</f>
        <v>631935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C3:C468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D3:D830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F7B5-C856-408E-AF0F-B03E1C62EA20}">
  <sheetPr>
    <tabColor rgb="FF92D050"/>
  </sheetPr>
  <dimension ref="A1:J28"/>
  <sheetViews>
    <sheetView tabSelected="1" topLeftCell="A8" workbookViewId="0">
      <selection activeCell="B20" sqref="B20"/>
    </sheetView>
  </sheetViews>
  <sheetFormatPr defaultColWidth="33.625" defaultRowHeight="15.75"/>
  <cols>
    <col min="1" max="1" width="46.5" customWidth="1"/>
    <col min="2" max="2" width="12.25" customWidth="1"/>
    <col min="3" max="3" width="18.75" bestFit="1" customWidth="1"/>
    <col min="4" max="4" width="29" bestFit="1" customWidth="1"/>
    <col min="5" max="9" width="13.75" style="21" customWidth="1"/>
  </cols>
  <sheetData>
    <row r="1" spans="1:10" ht="21">
      <c r="A1" s="6" t="s">
        <v>43</v>
      </c>
      <c r="B1" s="6"/>
      <c r="C1" s="6"/>
      <c r="D1" s="6"/>
      <c r="E1" s="16"/>
      <c r="F1" s="16"/>
      <c r="G1" s="16"/>
      <c r="H1" s="16"/>
      <c r="I1" s="16"/>
    </row>
    <row r="2" spans="1:10">
      <c r="A2" s="7" t="s">
        <v>1</v>
      </c>
      <c r="B2" s="7" t="s">
        <v>2</v>
      </c>
      <c r="C2" s="7" t="s">
        <v>3</v>
      </c>
      <c r="D2" s="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</row>
    <row r="3" spans="1:10">
      <c r="A3" s="5" t="s">
        <v>44</v>
      </c>
      <c r="B3" s="22" t="s">
        <v>45</v>
      </c>
      <c r="C3" s="5" t="s">
        <v>15</v>
      </c>
      <c r="D3" s="22" t="s">
        <v>16</v>
      </c>
      <c r="E3" s="14">
        <v>200040</v>
      </c>
      <c r="F3" s="14">
        <v>600121</v>
      </c>
      <c r="G3" s="14">
        <v>800161</v>
      </c>
      <c r="H3" s="14">
        <v>2400484</v>
      </c>
      <c r="I3" s="5">
        <f>SUM(E3:H3)</f>
        <v>4000806</v>
      </c>
    </row>
    <row r="4" spans="1:10">
      <c r="A4" s="5"/>
      <c r="B4" s="5"/>
      <c r="C4" s="5" t="s">
        <v>12</v>
      </c>
      <c r="D4" s="22" t="s">
        <v>13</v>
      </c>
      <c r="E4" s="14">
        <v>118655</v>
      </c>
      <c r="F4" s="14">
        <v>160534</v>
      </c>
      <c r="G4" s="14">
        <v>174493</v>
      </c>
      <c r="H4" s="14">
        <v>244290</v>
      </c>
      <c r="I4" s="5">
        <f>SUM(E4:H4)</f>
        <v>697972</v>
      </c>
    </row>
    <row r="5" spans="1:10">
      <c r="A5" s="5"/>
      <c r="B5" s="5"/>
      <c r="C5" s="5" t="s">
        <v>12</v>
      </c>
      <c r="D5" s="22" t="s">
        <v>14</v>
      </c>
      <c r="E5" s="14">
        <v>107429</v>
      </c>
      <c r="F5" s="14">
        <v>145345</v>
      </c>
      <c r="G5" s="14">
        <v>157984</v>
      </c>
      <c r="H5" s="14">
        <v>221177</v>
      </c>
      <c r="I5" s="5">
        <f>SUM(E5:H5)</f>
        <v>631935</v>
      </c>
    </row>
    <row r="6" spans="1:10">
      <c r="A6" s="5"/>
      <c r="B6" s="5"/>
      <c r="C6" s="5"/>
      <c r="D6" s="22"/>
      <c r="E6" s="14"/>
      <c r="F6" s="14"/>
      <c r="G6" s="14"/>
      <c r="H6" s="14"/>
      <c r="I6" s="28"/>
    </row>
    <row r="7" spans="1:10">
      <c r="A7" s="5" t="s">
        <v>46</v>
      </c>
      <c r="B7" s="5"/>
      <c r="C7" s="5" t="s">
        <v>32</v>
      </c>
      <c r="D7" s="5" t="s">
        <v>47</v>
      </c>
      <c r="E7" s="30">
        <v>46233</v>
      </c>
      <c r="F7" s="30">
        <v>62550</v>
      </c>
      <c r="G7" s="30">
        <v>67990</v>
      </c>
      <c r="H7" s="30">
        <v>95185</v>
      </c>
      <c r="I7" s="30">
        <f>SUM(E7:H7)</f>
        <v>271958</v>
      </c>
    </row>
    <row r="8" spans="1:10">
      <c r="A8" s="5"/>
      <c r="B8" s="5"/>
      <c r="C8" s="5" t="s">
        <v>12</v>
      </c>
      <c r="D8" s="5" t="s">
        <v>19</v>
      </c>
      <c r="E8" s="30">
        <v>23839</v>
      </c>
      <c r="F8" s="30">
        <v>32253</v>
      </c>
      <c r="G8" s="30">
        <v>35057</v>
      </c>
      <c r="H8" s="30">
        <v>49080</v>
      </c>
      <c r="I8" s="30">
        <f>SUM(E8:H8)</f>
        <v>140229</v>
      </c>
    </row>
    <row r="9" spans="1:10">
      <c r="A9" s="5"/>
      <c r="B9" s="5"/>
      <c r="C9" s="5" t="s">
        <v>48</v>
      </c>
      <c r="D9" s="5" t="s">
        <v>49</v>
      </c>
      <c r="E9" s="30">
        <v>23839</v>
      </c>
      <c r="F9" s="30">
        <v>32253</v>
      </c>
      <c r="G9" s="30">
        <v>35057</v>
      </c>
      <c r="H9" s="30">
        <v>49080</v>
      </c>
      <c r="I9" s="30">
        <f>SUM(E9:H9)</f>
        <v>140229</v>
      </c>
    </row>
    <row r="10" spans="1:10">
      <c r="A10" s="5"/>
      <c r="B10" s="5"/>
      <c r="C10" s="5"/>
      <c r="D10" s="5"/>
      <c r="E10" s="18"/>
      <c r="F10" s="18"/>
      <c r="G10" s="18"/>
      <c r="H10" s="18"/>
      <c r="I10" s="18"/>
    </row>
    <row r="11" spans="1:10">
      <c r="A11" s="5" t="s">
        <v>50</v>
      </c>
      <c r="B11" s="5" t="s">
        <v>51</v>
      </c>
      <c r="C11" s="5" t="s">
        <v>32</v>
      </c>
      <c r="D11" s="5" t="s">
        <v>52</v>
      </c>
      <c r="E11" s="18">
        <v>124270</v>
      </c>
      <c r="F11" s="18">
        <v>168130</v>
      </c>
      <c r="G11" s="18">
        <v>182750</v>
      </c>
      <c r="H11" s="18">
        <v>255850</v>
      </c>
      <c r="I11" s="49">
        <f>E11+F11+G11+H11</f>
        <v>731000</v>
      </c>
      <c r="J11" s="43"/>
    </row>
    <row r="12" spans="1:10">
      <c r="A12" s="5"/>
      <c r="B12" s="5"/>
      <c r="C12" s="5" t="s">
        <v>12</v>
      </c>
      <c r="D12" s="5" t="s">
        <v>19</v>
      </c>
      <c r="E12" s="18">
        <v>170000</v>
      </c>
      <c r="F12" s="18">
        <v>230000</v>
      </c>
      <c r="G12" s="18">
        <v>250000</v>
      </c>
      <c r="H12" s="18">
        <v>350000</v>
      </c>
      <c r="I12" s="18">
        <f>E12+F12+G12+H12</f>
        <v>1000000</v>
      </c>
    </row>
    <row r="13" spans="1:10">
      <c r="A13" s="5"/>
      <c r="B13" s="5"/>
      <c r="C13" s="44" t="s">
        <v>15</v>
      </c>
      <c r="D13" s="44" t="s">
        <v>53</v>
      </c>
      <c r="E13" s="45">
        <v>73100</v>
      </c>
      <c r="F13" s="45">
        <v>219300</v>
      </c>
      <c r="G13" s="45">
        <v>292400</v>
      </c>
      <c r="H13" s="45">
        <v>877199</v>
      </c>
      <c r="I13" s="46">
        <f>E13+F13+G13+H13</f>
        <v>1461999</v>
      </c>
    </row>
    <row r="14" spans="1:10">
      <c r="A14" s="5"/>
      <c r="B14" s="5"/>
      <c r="C14" s="47"/>
      <c r="D14" s="47"/>
      <c r="E14" s="19"/>
      <c r="F14" s="19"/>
      <c r="G14" s="19"/>
      <c r="H14" s="19"/>
      <c r="I14" s="48"/>
    </row>
    <row r="15" spans="1:10" s="38" customFormat="1">
      <c r="A15" s="35" t="s">
        <v>54</v>
      </c>
      <c r="B15" s="36" t="s">
        <v>55</v>
      </c>
      <c r="C15" s="35" t="s">
        <v>12</v>
      </c>
      <c r="D15" s="35" t="s">
        <v>13</v>
      </c>
      <c r="E15" s="37">
        <v>23800</v>
      </c>
      <c r="F15" s="37">
        <v>32200</v>
      </c>
      <c r="G15" s="37">
        <v>35000</v>
      </c>
      <c r="H15" s="37">
        <v>49000</v>
      </c>
      <c r="I15" s="35">
        <f>SUM(E15:H15)</f>
        <v>140000</v>
      </c>
    </row>
    <row r="16" spans="1:10" s="38" customFormat="1">
      <c r="A16" s="35"/>
      <c r="B16" s="35"/>
      <c r="C16" s="35" t="s">
        <v>12</v>
      </c>
      <c r="D16" s="35" t="s">
        <v>14</v>
      </c>
      <c r="E16" s="37">
        <v>22100</v>
      </c>
      <c r="F16" s="37">
        <v>29900</v>
      </c>
      <c r="G16" s="37">
        <v>32500</v>
      </c>
      <c r="H16" s="37">
        <v>45500</v>
      </c>
      <c r="I16" s="35">
        <f>SUM(E16:H16)</f>
        <v>130000</v>
      </c>
    </row>
    <row r="17" spans="1:9" s="38" customFormat="1">
      <c r="A17" s="35"/>
      <c r="B17" s="35"/>
      <c r="C17" s="35" t="s">
        <v>15</v>
      </c>
      <c r="D17" s="35" t="s">
        <v>16</v>
      </c>
      <c r="E17" s="37">
        <v>141100</v>
      </c>
      <c r="F17" s="37">
        <v>190900</v>
      </c>
      <c r="G17" s="37">
        <v>207500</v>
      </c>
      <c r="H17" s="37">
        <v>290500</v>
      </c>
      <c r="I17" s="35">
        <f>SUM(E17:H17)</f>
        <v>830000</v>
      </c>
    </row>
    <row r="18" spans="1:9">
      <c r="A18" s="5"/>
      <c r="B18" s="5"/>
      <c r="C18" s="5"/>
      <c r="D18" s="5"/>
      <c r="E18" s="18"/>
      <c r="F18" s="18"/>
      <c r="G18" s="18"/>
      <c r="H18" s="18"/>
      <c r="I18" s="18"/>
    </row>
    <row r="19" spans="1:9">
      <c r="A19" s="28"/>
      <c r="B19" s="28"/>
      <c r="C19" s="28"/>
      <c r="D19" s="28"/>
      <c r="E19" s="20"/>
      <c r="F19" s="20"/>
      <c r="G19" s="20"/>
      <c r="H19" s="20"/>
      <c r="I19" s="43"/>
    </row>
    <row r="20" spans="1:9">
      <c r="A20" s="28"/>
      <c r="B20" s="28"/>
      <c r="C20" s="28"/>
      <c r="D20" s="28"/>
      <c r="E20" s="20"/>
      <c r="F20" s="20"/>
      <c r="G20" s="20"/>
      <c r="H20" s="20"/>
      <c r="I20" s="43"/>
    </row>
    <row r="21" spans="1:9">
      <c r="A21" s="28"/>
      <c r="B21" s="28"/>
      <c r="C21" s="28"/>
      <c r="D21" s="28"/>
      <c r="E21" s="20"/>
      <c r="F21" s="20"/>
      <c r="G21" s="20"/>
      <c r="H21" s="20"/>
      <c r="I21" s="43"/>
    </row>
    <row r="22" spans="1:9">
      <c r="A22" s="28"/>
      <c r="B22" s="28"/>
      <c r="C22" s="28"/>
      <c r="D22" s="28"/>
      <c r="E22" s="20"/>
      <c r="F22" s="20"/>
      <c r="G22" s="20"/>
      <c r="H22" s="20"/>
      <c r="I22" s="43"/>
    </row>
    <row r="23" spans="1:9">
      <c r="A23" s="28"/>
      <c r="B23" s="28"/>
      <c r="C23" s="28"/>
      <c r="D23" s="28"/>
      <c r="E23" s="20"/>
      <c r="F23" s="20"/>
      <c r="G23" s="20"/>
      <c r="H23" s="20"/>
      <c r="I23" s="43"/>
    </row>
    <row r="24" spans="1:9">
      <c r="A24" s="28"/>
      <c r="B24" s="28"/>
      <c r="C24" s="28"/>
      <c r="D24" s="28"/>
      <c r="E24" s="20"/>
      <c r="F24" s="20"/>
      <c r="G24" s="20"/>
      <c r="H24" s="20"/>
      <c r="I24" s="43"/>
    </row>
    <row r="25" spans="1:9">
      <c r="A25" s="28"/>
      <c r="B25" s="28"/>
      <c r="C25" s="28"/>
      <c r="D25" s="28"/>
      <c r="E25" s="20"/>
      <c r="F25" s="20"/>
      <c r="G25" s="20"/>
      <c r="H25" s="20"/>
      <c r="I25" s="43"/>
    </row>
    <row r="26" spans="1:9">
      <c r="A26" s="28"/>
      <c r="B26" s="28"/>
      <c r="C26" s="28"/>
      <c r="D26" s="28"/>
      <c r="E26" s="20"/>
      <c r="F26" s="20"/>
      <c r="G26" s="20"/>
      <c r="H26" s="20"/>
      <c r="I26" s="43"/>
    </row>
    <row r="27" spans="1:9">
      <c r="A27" s="28"/>
      <c r="B27" s="28"/>
      <c r="C27" s="28"/>
      <c r="D27" s="28"/>
      <c r="E27" s="20"/>
      <c r="F27" s="20"/>
      <c r="G27" s="20"/>
      <c r="H27" s="20"/>
      <c r="I27" s="43"/>
    </row>
    <row r="28" spans="1:9">
      <c r="A28" s="28"/>
      <c r="B28" s="28"/>
      <c r="C28" s="28"/>
      <c r="D28" s="28"/>
      <c r="E28" s="20"/>
      <c r="F28" s="20"/>
      <c r="G28" s="20"/>
      <c r="H28" s="20"/>
      <c r="I28" s="4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60CE5F-E429-4FC7-B78B-F53241718364}">
          <x14:formula1>
            <xm:f>'Options for KPI UT Levels'!$A$2:$A$47</xm:f>
          </x14:formula1>
          <xm:sqref>H1 C3:C28</xm:sqref>
        </x14:dataValidation>
        <x14:dataValidation type="list" allowBlank="1" showInputMessage="1" showErrorMessage="1" xr:uid="{CFA6AD16-D2E9-4F96-AA26-89F216E4FB1E}">
          <x14:formula1>
            <xm:f>'Options for KPI UT Levels'!$B$2:$B$47</xm:f>
          </x14:formula1>
          <xm:sqref>D3:D28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8EE1-FEBC-4C3D-A26B-2F802B12B97D}">
  <sheetPr>
    <tabColor rgb="FF00B0F0"/>
  </sheetPr>
  <dimension ref="A1:I10"/>
  <sheetViews>
    <sheetView workbookViewId="0">
      <selection activeCell="A7" sqref="A7"/>
    </sheetView>
  </sheetViews>
  <sheetFormatPr defaultRowHeight="15.75"/>
  <cols>
    <col min="1" max="1" width="66" style="25" customWidth="1"/>
    <col min="2" max="2" width="16.625" style="25" customWidth="1"/>
    <col min="3" max="3" width="25.25" style="25" customWidth="1"/>
    <col min="4" max="4" width="31.125" style="25" customWidth="1"/>
    <col min="5" max="9" width="16.625" style="25" customWidth="1"/>
    <col min="10" max="16384" width="9" style="25"/>
  </cols>
  <sheetData>
    <row r="1" spans="1:9" ht="21">
      <c r="A1" s="23" t="s">
        <v>43</v>
      </c>
      <c r="B1" s="23"/>
      <c r="C1" s="23"/>
      <c r="D1" s="23"/>
      <c r="E1" s="24"/>
      <c r="F1" s="24"/>
      <c r="G1" s="24"/>
      <c r="H1" s="24"/>
      <c r="I1" s="24"/>
    </row>
    <row r="2" spans="1:9">
      <c r="A2" s="26" t="s">
        <v>1</v>
      </c>
      <c r="B2" s="26" t="s">
        <v>2</v>
      </c>
      <c r="C2" s="26" t="s">
        <v>3</v>
      </c>
      <c r="D2" s="26" t="s">
        <v>4</v>
      </c>
      <c r="E2" s="27" t="s">
        <v>5</v>
      </c>
      <c r="F2" s="27" t="s">
        <v>6</v>
      </c>
      <c r="G2" s="27" t="s">
        <v>7</v>
      </c>
      <c r="H2" s="27" t="s">
        <v>8</v>
      </c>
      <c r="I2" s="27" t="s">
        <v>9</v>
      </c>
    </row>
    <row r="3" spans="1:9">
      <c r="A3" s="25" t="s">
        <v>56</v>
      </c>
      <c r="B3" s="32" t="s">
        <v>57</v>
      </c>
      <c r="C3" s="33" t="s">
        <v>12</v>
      </c>
      <c r="D3" s="5" t="s">
        <v>13</v>
      </c>
      <c r="E3" s="30">
        <v>62135</v>
      </c>
      <c r="F3" s="30">
        <v>84065</v>
      </c>
      <c r="G3" s="30">
        <v>91375</v>
      </c>
      <c r="H3" s="30">
        <v>127925</v>
      </c>
      <c r="I3" s="31">
        <f>SUM(E3:H3)</f>
        <v>365500</v>
      </c>
    </row>
    <row r="4" spans="1:9">
      <c r="C4" s="33" t="s">
        <v>12</v>
      </c>
      <c r="D4" s="5" t="s">
        <v>14</v>
      </c>
      <c r="E4" s="30">
        <v>62135</v>
      </c>
      <c r="F4" s="30">
        <v>84065</v>
      </c>
      <c r="G4" s="30">
        <v>91375</v>
      </c>
      <c r="H4" s="30">
        <v>127925</v>
      </c>
      <c r="I4" s="31">
        <f>SUM(E4:H4)</f>
        <v>365500</v>
      </c>
    </row>
    <row r="5" spans="1:9">
      <c r="C5" s="33" t="s">
        <v>15</v>
      </c>
      <c r="D5" s="5" t="s">
        <v>16</v>
      </c>
      <c r="E5" s="30">
        <v>18275</v>
      </c>
      <c r="F5" s="30">
        <v>54825</v>
      </c>
      <c r="G5" s="30">
        <v>73100</v>
      </c>
      <c r="H5" s="30">
        <v>219300</v>
      </c>
      <c r="I5" s="31">
        <f>SUM(I3:I4)</f>
        <v>731000</v>
      </c>
    </row>
    <row r="6" spans="1:9">
      <c r="C6" s="33" t="s">
        <v>32</v>
      </c>
      <c r="D6" s="5" t="s">
        <v>47</v>
      </c>
      <c r="E6" s="30">
        <v>124270</v>
      </c>
      <c r="F6" s="30">
        <v>168130</v>
      </c>
      <c r="G6" s="30">
        <v>182750</v>
      </c>
      <c r="H6" s="30">
        <v>255850</v>
      </c>
      <c r="I6" s="31">
        <f>SUM(E6:H6)</f>
        <v>731000</v>
      </c>
    </row>
    <row r="7" spans="1:9">
      <c r="C7" s="33" t="s">
        <v>37</v>
      </c>
      <c r="D7" s="5" t="s">
        <v>38</v>
      </c>
      <c r="E7" s="30">
        <v>36550</v>
      </c>
      <c r="F7" s="30">
        <v>76755</v>
      </c>
      <c r="G7" s="30">
        <v>109650</v>
      </c>
      <c r="H7" s="30">
        <v>142545</v>
      </c>
      <c r="I7" s="31">
        <f>SUM(E7:H7)</f>
        <v>365500</v>
      </c>
    </row>
    <row r="8" spans="1:9">
      <c r="C8" s="33" t="s">
        <v>58</v>
      </c>
      <c r="D8" s="5" t="s">
        <v>59</v>
      </c>
      <c r="E8" s="29">
        <v>182750</v>
      </c>
      <c r="F8" s="30">
        <v>548249</v>
      </c>
      <c r="G8" s="30">
        <v>730999</v>
      </c>
      <c r="H8" s="30">
        <v>2192997</v>
      </c>
      <c r="I8" s="31">
        <f>SUM(E8:H8)</f>
        <v>3654995</v>
      </c>
    </row>
    <row r="9" spans="1:9">
      <c r="C9" s="34" t="s">
        <v>58</v>
      </c>
      <c r="D9" s="28" t="s">
        <v>60</v>
      </c>
      <c r="E9" s="30">
        <v>73100</v>
      </c>
      <c r="F9" s="30">
        <v>219300</v>
      </c>
      <c r="G9" s="30">
        <v>292400</v>
      </c>
      <c r="H9" s="30">
        <v>877199</v>
      </c>
      <c r="I9" s="31">
        <f>SUM(E9:H9)</f>
        <v>1461999</v>
      </c>
    </row>
    <row r="10" spans="1:9">
      <c r="A10" s="25" t="s">
        <v>22</v>
      </c>
      <c r="B10" s="32" t="s">
        <v>23</v>
      </c>
      <c r="C10" s="33" t="s">
        <v>12</v>
      </c>
      <c r="D10" s="5" t="s">
        <v>14</v>
      </c>
      <c r="E10" s="15">
        <v>170000</v>
      </c>
      <c r="F10" s="15">
        <v>230000</v>
      </c>
      <c r="G10" s="15">
        <v>250000</v>
      </c>
      <c r="H10" s="15">
        <v>350000</v>
      </c>
      <c r="I10" s="5">
        <f t="shared" ref="I10" si="0">SUM(E10:H10)</f>
        <v>1000000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E071E30-BE07-40AB-B798-9C895B7F90E3}">
          <x14:formula1>
            <xm:f>'Options for KPI UT Levels'!$A$2:$A$47</xm:f>
          </x14:formula1>
          <xm:sqref>H1 C3:C10</xm:sqref>
        </x14:dataValidation>
        <x14:dataValidation type="list" allowBlank="1" showInputMessage="1" showErrorMessage="1" xr:uid="{CEB7B8B9-E7BD-42EC-923F-10E888141FD9}">
          <x14:formula1>
            <xm:f>'Options for KPI UT Levels'!$B$2:$B$47</xm:f>
          </x14:formula1>
          <xm:sqref>D3:D10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zoomScaleNormal="100" workbookViewId="0"/>
  </sheetViews>
  <sheetFormatPr defaultColWidth="10.625" defaultRowHeight="22.35" customHeight="1"/>
  <cols>
    <col min="1" max="1" width="33.5" style="4" bestFit="1" customWidth="1"/>
    <col min="2" max="2" width="47.625" style="2" bestFit="1" customWidth="1"/>
    <col min="3" max="16384" width="10.625" style="2"/>
  </cols>
  <sheetData>
    <row r="1" spans="1:2" ht="22.35" customHeight="1">
      <c r="A1" s="1" t="s">
        <v>3</v>
      </c>
      <c r="B1" s="1" t="s">
        <v>4</v>
      </c>
    </row>
    <row r="2" spans="1:2" ht="22.35" customHeight="1">
      <c r="A2" s="40" t="s">
        <v>32</v>
      </c>
      <c r="B2" s="2" t="s">
        <v>52</v>
      </c>
    </row>
    <row r="3" spans="1:2" ht="22.35" customHeight="1">
      <c r="A3" s="40"/>
      <c r="B3" s="2" t="s">
        <v>33</v>
      </c>
    </row>
    <row r="4" spans="1:2" ht="22.35" customHeight="1">
      <c r="A4" s="40"/>
      <c r="B4" s="2" t="s">
        <v>34</v>
      </c>
    </row>
    <row r="5" spans="1:2" ht="22.35" customHeight="1">
      <c r="A5" s="41"/>
      <c r="B5" s="3" t="s">
        <v>47</v>
      </c>
    </row>
    <row r="6" spans="1:2" ht="22.35" customHeight="1">
      <c r="A6" s="40" t="s">
        <v>12</v>
      </c>
      <c r="B6" s="2" t="s">
        <v>19</v>
      </c>
    </row>
    <row r="7" spans="1:2" ht="22.35" customHeight="1">
      <c r="A7" s="40"/>
      <c r="B7" s="2" t="s">
        <v>13</v>
      </c>
    </row>
    <row r="8" spans="1:2" ht="22.35" customHeight="1">
      <c r="A8" s="41"/>
      <c r="B8" s="3" t="s">
        <v>14</v>
      </c>
    </row>
    <row r="9" spans="1:2" ht="22.35" customHeight="1">
      <c r="A9" s="40" t="s">
        <v>58</v>
      </c>
      <c r="B9" s="2" t="s">
        <v>59</v>
      </c>
    </row>
    <row r="10" spans="1:2" ht="22.35" customHeight="1">
      <c r="A10" s="40"/>
      <c r="B10" s="2" t="s">
        <v>61</v>
      </c>
    </row>
    <row r="11" spans="1:2" ht="22.35" customHeight="1">
      <c r="A11" s="41"/>
      <c r="B11" s="3" t="s">
        <v>60</v>
      </c>
    </row>
    <row r="12" spans="1:2" ht="22.35" customHeight="1">
      <c r="A12" s="40" t="s">
        <v>62</v>
      </c>
      <c r="B12" s="2" t="s">
        <v>63</v>
      </c>
    </row>
    <row r="13" spans="1:2" ht="22.35" customHeight="1">
      <c r="A13" s="40"/>
      <c r="B13" s="2" t="s">
        <v>64</v>
      </c>
    </row>
    <row r="14" spans="1:2" ht="22.35" customHeight="1">
      <c r="A14" s="41"/>
      <c r="B14" s="3" t="s">
        <v>65</v>
      </c>
    </row>
    <row r="15" spans="1:2" ht="22.35" customHeight="1">
      <c r="A15" s="39" t="s">
        <v>66</v>
      </c>
      <c r="B15" s="3" t="s">
        <v>67</v>
      </c>
    </row>
    <row r="16" spans="1:2" ht="22.35" customHeight="1">
      <c r="A16" s="40" t="s">
        <v>68</v>
      </c>
      <c r="B16" s="2" t="s">
        <v>69</v>
      </c>
    </row>
    <row r="17" spans="1:2" ht="22.35" customHeight="1">
      <c r="A17" s="40"/>
      <c r="B17" s="2" t="s">
        <v>70</v>
      </c>
    </row>
    <row r="18" spans="1:2" ht="22.35" customHeight="1">
      <c r="A18" s="40"/>
      <c r="B18" s="2" t="s">
        <v>71</v>
      </c>
    </row>
    <row r="19" spans="1:2" ht="22.35" customHeight="1">
      <c r="A19" s="41"/>
      <c r="B19" s="3" t="s">
        <v>72</v>
      </c>
    </row>
    <row r="20" spans="1:2" ht="22.35" customHeight="1">
      <c r="A20" s="39" t="s">
        <v>35</v>
      </c>
      <c r="B20" s="3" t="s">
        <v>36</v>
      </c>
    </row>
    <row r="21" spans="1:2" ht="22.35" customHeight="1">
      <c r="A21" s="40" t="s">
        <v>15</v>
      </c>
      <c r="B21" s="2" t="s">
        <v>73</v>
      </c>
    </row>
    <row r="22" spans="1:2" ht="22.35" customHeight="1">
      <c r="A22" s="40"/>
      <c r="B22" s="2" t="s">
        <v>16</v>
      </c>
    </row>
    <row r="23" spans="1:2" ht="22.35" customHeight="1">
      <c r="A23" s="41"/>
      <c r="B23" s="3" t="s">
        <v>53</v>
      </c>
    </row>
    <row r="24" spans="1:2" ht="22.35" customHeight="1">
      <c r="A24" s="40" t="s">
        <v>48</v>
      </c>
      <c r="B24" s="2" t="s">
        <v>74</v>
      </c>
    </row>
    <row r="25" spans="1:2" ht="22.35" customHeight="1">
      <c r="A25" s="40"/>
      <c r="B25" s="2" t="s">
        <v>75</v>
      </c>
    </row>
    <row r="26" spans="1:2" ht="22.35" customHeight="1">
      <c r="A26" s="40"/>
      <c r="B26" s="2" t="s">
        <v>76</v>
      </c>
    </row>
    <row r="27" spans="1:2" ht="22.35" customHeight="1">
      <c r="A27" s="40"/>
      <c r="B27" s="2" t="s">
        <v>49</v>
      </c>
    </row>
    <row r="28" spans="1:2" ht="22.35" customHeight="1">
      <c r="A28" s="40"/>
      <c r="B28" s="2" t="s">
        <v>77</v>
      </c>
    </row>
    <row r="29" spans="1:2" ht="22.35" customHeight="1">
      <c r="A29" s="40"/>
      <c r="B29" s="2" t="s">
        <v>78</v>
      </c>
    </row>
    <row r="30" spans="1:2" ht="22.35" customHeight="1">
      <c r="A30" s="40"/>
      <c r="B30" s="2" t="s">
        <v>79</v>
      </c>
    </row>
    <row r="31" spans="1:2" ht="22.35" customHeight="1">
      <c r="A31" s="41"/>
      <c r="B31" s="3" t="s">
        <v>80</v>
      </c>
    </row>
    <row r="32" spans="1:2" ht="22.35" customHeight="1">
      <c r="A32" s="40" t="s">
        <v>81</v>
      </c>
      <c r="B32" s="2" t="s">
        <v>82</v>
      </c>
    </row>
    <row r="33" spans="1:2" ht="22.35" customHeight="1">
      <c r="A33" s="40"/>
      <c r="B33" s="2" t="s">
        <v>83</v>
      </c>
    </row>
    <row r="34" spans="1:2" ht="22.35" customHeight="1">
      <c r="A34" s="40"/>
      <c r="B34" s="2" t="s">
        <v>84</v>
      </c>
    </row>
    <row r="35" spans="1:2" ht="22.35" customHeight="1">
      <c r="A35" s="40"/>
      <c r="B35" s="2" t="s">
        <v>85</v>
      </c>
    </row>
    <row r="36" spans="1:2" ht="22.35" customHeight="1">
      <c r="A36" s="40"/>
      <c r="B36" s="2" t="s">
        <v>86</v>
      </c>
    </row>
    <row r="37" spans="1:2" ht="22.35" customHeight="1">
      <c r="A37" s="40"/>
      <c r="B37" s="2" t="s">
        <v>87</v>
      </c>
    </row>
    <row r="38" spans="1:2" ht="22.35" customHeight="1">
      <c r="A38" s="40"/>
      <c r="B38" s="2" t="s">
        <v>88</v>
      </c>
    </row>
    <row r="39" spans="1:2" ht="22.35" customHeight="1">
      <c r="A39" s="41"/>
      <c r="B39" s="3" t="s">
        <v>89</v>
      </c>
    </row>
    <row r="40" spans="1:2" ht="22.35" customHeight="1">
      <c r="A40" s="39" t="s">
        <v>90</v>
      </c>
      <c r="B40" s="3" t="s">
        <v>91</v>
      </c>
    </row>
    <row r="41" spans="1:2" ht="22.35" customHeight="1">
      <c r="A41" s="40" t="s">
        <v>92</v>
      </c>
      <c r="B41" s="2" t="s">
        <v>93</v>
      </c>
    </row>
    <row r="42" spans="1:2" ht="22.35" customHeight="1">
      <c r="A42" s="41"/>
      <c r="B42" s="3" t="s">
        <v>94</v>
      </c>
    </row>
    <row r="43" spans="1:2" ht="22.35" customHeight="1">
      <c r="A43" s="40" t="s">
        <v>37</v>
      </c>
      <c r="B43" s="2" t="s">
        <v>38</v>
      </c>
    </row>
    <row r="44" spans="1:2" ht="22.35" customHeight="1">
      <c r="A44" s="41"/>
      <c r="B44" s="3" t="s">
        <v>95</v>
      </c>
    </row>
    <row r="45" spans="1:2" ht="22.35" customHeight="1">
      <c r="A45" s="40" t="s">
        <v>96</v>
      </c>
      <c r="B45" s="2" t="s">
        <v>97</v>
      </c>
    </row>
    <row r="46" spans="1:2" ht="22.35" customHeight="1">
      <c r="A46" s="40"/>
      <c r="B46" s="2" t="s">
        <v>98</v>
      </c>
    </row>
    <row r="47" spans="1:2" ht="22.35" customHeight="1">
      <c r="A47" s="41"/>
      <c r="B47" s="3" t="s">
        <v>99</v>
      </c>
    </row>
  </sheetData>
  <mergeCells count="11">
    <mergeCell ref="A21:A23"/>
    <mergeCell ref="A2:A5"/>
    <mergeCell ref="A6:A8"/>
    <mergeCell ref="A9:A11"/>
    <mergeCell ref="A12:A14"/>
    <mergeCell ref="A16:A19"/>
    <mergeCell ref="A24:A31"/>
    <mergeCell ref="A32:A39"/>
    <mergeCell ref="A41:A42"/>
    <mergeCell ref="A43:A44"/>
    <mergeCell ref="A45:A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D7" sqref="D7"/>
    </sheetView>
  </sheetViews>
  <sheetFormatPr defaultColWidth="8.875" defaultRowHeight="15.95"/>
  <cols>
    <col min="1" max="1" width="24.875" customWidth="1"/>
  </cols>
  <sheetData>
    <row r="1" spans="1:5">
      <c r="A1" s="8"/>
      <c r="B1" s="42" t="s">
        <v>100</v>
      </c>
      <c r="C1" s="42"/>
      <c r="D1" s="42"/>
      <c r="E1" s="42"/>
    </row>
    <row r="2" spans="1:5">
      <c r="A2" s="9"/>
      <c r="B2" s="10" t="s">
        <v>5</v>
      </c>
      <c r="C2" s="10" t="s">
        <v>101</v>
      </c>
      <c r="D2" s="10" t="s">
        <v>7</v>
      </c>
      <c r="E2" s="10" t="s">
        <v>8</v>
      </c>
    </row>
    <row r="3" spans="1:5">
      <c r="A3" s="11" t="s">
        <v>102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103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104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8C4767-4D22-45B1-BCBF-E6BA997C4D9A}"/>
</file>

<file path=customXml/itemProps2.xml><?xml version="1.0" encoding="utf-8"?>
<ds:datastoreItem xmlns:ds="http://schemas.openxmlformats.org/officeDocument/2006/customXml" ds:itemID="{56308CB8-6F41-47A1-A7FA-F6896EEA67B8}"/>
</file>

<file path=customXml/itemProps3.xml><?xml version="1.0" encoding="utf-8"?>
<ds:datastoreItem xmlns:ds="http://schemas.openxmlformats.org/officeDocument/2006/customXml" ds:itemID="{72985BAC-01DD-4D79-81D2-7D306B72E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Adrienne DeGeorge</cp:lastModifiedBy>
  <cp:revision/>
  <dcterms:created xsi:type="dcterms:W3CDTF">2026-02-19T16:21:33Z</dcterms:created>
  <dcterms:modified xsi:type="dcterms:W3CDTF">2026-07-29T19:42:57Z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