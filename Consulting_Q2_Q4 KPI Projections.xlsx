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jennifer_martinson1_ibm_com/Documents/Martinson files One Drive IBM/Metrics/KPI Entries/Q2 KPI Projections/"/>
    </mc:Choice>
  </mc:AlternateContent>
  <xr:revisionPtr revIDLastSave="586" documentId="8_{6A544ECF-F7CE-4262-8CCF-8AD4F96D51B2}" xr6:coauthVersionLast="47" xr6:coauthVersionMax="47" xr10:uidLastSave="{80FE69BA-64AC-4403-83FE-1D7916C0FA97}"/>
  <bookViews>
    <workbookView xWindow="-108" yWindow="-108" windowWidth="23256" windowHeight="13896" firstSheet="2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  <c r="I16" i="4"/>
  <c r="I17" i="4"/>
  <c r="I11" i="4"/>
  <c r="I10" i="4"/>
  <c r="I13" i="4"/>
  <c r="I12" i="4"/>
  <c r="I15" i="5"/>
  <c r="I15" i="4"/>
  <c r="I8" i="5"/>
  <c r="I4" i="5"/>
  <c r="I16" i="5"/>
  <c r="I14" i="5"/>
  <c r="I13" i="5"/>
  <c r="I12" i="5"/>
  <c r="I11" i="5"/>
  <c r="I10" i="5"/>
  <c r="I9" i="5"/>
  <c r="I7" i="5"/>
  <c r="I6" i="5"/>
  <c r="I5" i="5"/>
  <c r="I3" i="5"/>
  <c r="I20" i="2"/>
  <c r="I6" i="4"/>
  <c r="I7" i="4"/>
  <c r="I8" i="4"/>
  <c r="I5" i="4"/>
  <c r="I4" i="4"/>
  <c r="I3" i="4"/>
  <c r="I19" i="2"/>
  <c r="I17" i="2"/>
  <c r="I15" i="2"/>
  <c r="I13" i="2"/>
  <c r="I11" i="2"/>
  <c r="I9" i="2"/>
  <c r="I7" i="2"/>
  <c r="I23" i="2"/>
  <c r="I22" i="2"/>
  <c r="I21" i="2"/>
  <c r="I18" i="2"/>
  <c r="I6" i="2"/>
  <c r="I5" i="2"/>
  <c r="I4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tc={ECD00007-C25D-4BB3-BA6F-C623EEF9C8A7}</author>
  </authors>
  <commentList>
    <comment ref="A22" authorId="0" shapeId="0" xr:uid="{ECD00007-C25D-4BB3-BA6F-C623EEF9C8A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Canada Events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tc={E8540392-27A7-423C-8D2C-7F82EF4FD94A}</author>
  </authors>
  <commentList>
    <comment ref="A21" authorId="0" shapeId="0" xr:uid="{E8540392-27A7-423C-8D2C-7F82EF4F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Canada Events</t>
      </text>
    </comment>
  </commentList>
</comments>
</file>

<file path=xl/sharedStrings.xml><?xml version="1.0" encoding="utf-8"?>
<sst xmlns="http://schemas.openxmlformats.org/spreadsheetml/2006/main" count="305" uniqueCount="160">
  <si>
    <t>Consulting Q2 KPI Projections</t>
  </si>
  <si>
    <t>Totals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</si>
  <si>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</si>
  <si>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</si>
  <si>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</si>
  <si>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</si>
  <si>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</si>
  <si>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</si>
  <si>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</si>
  <si>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</si>
  <si>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Q2 Fortune Dinner CHRO</t>
  </si>
  <si>
    <t>0R4ETXMB</t>
  </si>
  <si>
    <t>Strategy &amp; Technology</t>
  </si>
  <si>
    <t>Strategy &amp; Transformation</t>
  </si>
  <si>
    <t>2Q26 H2A Data and AI Exchange</t>
  </si>
  <si>
    <t>9GC4ZUMB</t>
  </si>
  <si>
    <t>Hybrid Cloud &amp; Data</t>
  </si>
  <si>
    <t>2Q26 PIE CHRO Exchange - date tbc</t>
  </si>
  <si>
    <t>WYABX9MB</t>
  </si>
  <si>
    <t>Gartner C-Level Communities CISO Town Hall - San Francisco</t>
  </si>
  <si>
    <t>01X7ZQMB</t>
  </si>
  <si>
    <t>Intelligent Operations</t>
  </si>
  <si>
    <t>Cybersecurity</t>
  </si>
  <si>
    <t>Consulting Dinner at Think - Industrial</t>
  </si>
  <si>
    <t>VYWF2XMB</t>
  </si>
  <si>
    <t>Consulting Dinner at Think - FSM</t>
  </si>
  <si>
    <t>3PQJMUMB</t>
  </si>
  <si>
    <t>Consulting Dinner at Think - Comms</t>
  </si>
  <si>
    <t>V135J4MB</t>
  </si>
  <si>
    <t>Consulting Dinner at Think - Distribution</t>
  </si>
  <si>
    <t>532QX2MB</t>
  </si>
  <si>
    <t>Consulting Dinner at Think - Public/Healthcare &amp; Life Sciences</t>
  </si>
  <si>
    <t>TTTHI7MB</t>
  </si>
  <si>
    <t>Consulting Dinner at Think - Blue space/expansion</t>
  </si>
  <si>
    <t>QPBTXGMB</t>
  </si>
  <si>
    <t>Blend Community Dinner: CIO Experience</t>
  </si>
  <si>
    <t>0HD0Y0MB</t>
  </si>
  <si>
    <t>Application Operations</t>
  </si>
  <si>
    <t>Q2 Fortune Lunch MSFT</t>
  </si>
  <si>
    <t>EHZ1QRMB</t>
  </si>
  <si>
    <t>2026 Gartner security and risk management Surround for consulting</t>
  </si>
  <si>
    <t>W4IGQLMB</t>
  </si>
  <si>
    <t>AWS Summit Toronto 2026 (IBM)</t>
  </si>
  <si>
    <t>0D06BQMB</t>
  </si>
  <si>
    <t>Consulting Q3 KPI Projections</t>
  </si>
  <si>
    <t>3Q26 HFS Roundtable in NYC: BPO (Date TBD)</t>
  </si>
  <si>
    <t>9RXC2RMB</t>
  </si>
  <si>
    <t>Business Operations</t>
  </si>
  <si>
    <t>3Q26 PIE Federal CIO Exchange</t>
  </si>
  <si>
    <t>988MLCMB</t>
  </si>
  <si>
    <t>Q3 Fortune Dinner CFO</t>
  </si>
  <si>
    <t>5ZC3M2MB</t>
  </si>
  <si>
    <t>3Q26 H2A Data and AI Exchange</t>
  </si>
  <si>
    <t>G3HVBXMB</t>
  </si>
  <si>
    <t>3Q26 PIE CIO/CTO Exchange</t>
  </si>
  <si>
    <t>OEQCV4MB</t>
  </si>
  <si>
    <t>3Q26 PIE CHRO Exchange</t>
  </si>
  <si>
    <t>643OIRMB</t>
  </si>
  <si>
    <t>IBM WSJ x Titan Dinner (NYC)</t>
  </si>
  <si>
    <t>YA06EEMB</t>
  </si>
  <si>
    <t>NA</t>
  </si>
  <si>
    <t>Global CXO</t>
  </si>
  <si>
    <t>theCube CHRO &amp; CFO Sept  (NYSE)</t>
  </si>
  <si>
    <t>JK47KNMB</t>
  </si>
  <si>
    <t>Data Platform</t>
  </si>
  <si>
    <t>AI Productivity</t>
  </si>
  <si>
    <t>PIE FSM HR Leadership Exchange (CXO Program)</t>
  </si>
  <si>
    <t>44NLNYMB</t>
  </si>
  <si>
    <t>IBM WSJ x Titan Dinner (DC)</t>
  </si>
  <si>
    <t>8Q9V4MMB</t>
  </si>
  <si>
    <t>Salesforce Innovation Studio Experience OMA</t>
  </si>
  <si>
    <t>WUBOR2MB</t>
  </si>
  <si>
    <t>Business Applications</t>
  </si>
  <si>
    <t>PIE Transformation Edge CFO + CHRO NYC</t>
  </si>
  <si>
    <t>VCW8A1MB</t>
  </si>
  <si>
    <t>US Open Women in AI Dinner</t>
  </si>
  <si>
    <t>AN8DZPMB</t>
  </si>
  <si>
    <t>Consulting &amp; Global CXO Q4 KPI Projections</t>
  </si>
  <si>
    <t>Q4 Fortune Dinner COO</t>
  </si>
  <si>
    <t>K0118JMB</t>
  </si>
  <si>
    <t>4Q26 H2A Data and AI Exchange  (1)</t>
  </si>
  <si>
    <t>WJHIIJMB</t>
  </si>
  <si>
    <t>4Q26 PIE CHRO Exchange (date tbc)</t>
  </si>
  <si>
    <t>MAI2LNMB</t>
  </si>
  <si>
    <t>Gartner C-Level Communities CISO Town Hall - Boston</t>
  </si>
  <si>
    <t>A3K7YKMB</t>
  </si>
  <si>
    <t>4Q26 PIE Federal CIO Exchange</t>
  </si>
  <si>
    <t>5PDVIHMB</t>
  </si>
  <si>
    <t>4Q26 PIE CIO/CTO Exchange</t>
  </si>
  <si>
    <t>G8BPKFMB</t>
  </si>
  <si>
    <t>4Q26 H2A Data and AI Exchange  (2)</t>
  </si>
  <si>
    <t>5X9NHAMB</t>
  </si>
  <si>
    <t>IBM WSJ CEO Council Dinner (San Francisco)</t>
  </si>
  <si>
    <t>B8X0L5MB</t>
  </si>
  <si>
    <t>Global CXO - leads will not be uploaded</t>
  </si>
  <si>
    <t>IBM WSJ CEO Council Dinner (London)</t>
  </si>
  <si>
    <t>TT3211MB</t>
  </si>
  <si>
    <t>PIE X-Industry HR Leadership Exchange (CXO Program) Nov</t>
  </si>
  <si>
    <t>AD74TVMB</t>
  </si>
  <si>
    <t>4Q Emerging CIO Leadership Exchange Dinner/Lunch TechXChange Oct 26-28 Atlanta</t>
  </si>
  <si>
    <t>CANCELLED</t>
  </si>
  <si>
    <t xml:space="preserve">4Q Emerging CIO Leadership Exchange NY </t>
  </si>
  <si>
    <t>HXDQZQMB</t>
  </si>
  <si>
    <t>Salesforce Innovation Studio Experience Austin</t>
  </si>
  <si>
    <t>YY2IK0MB</t>
  </si>
  <si>
    <t>Automation Platform</t>
  </si>
  <si>
    <t>Application Development &amp; Integration</t>
  </si>
  <si>
    <t>Infrastructure Automation</t>
  </si>
  <si>
    <t>Security Threat Management</t>
  </si>
  <si>
    <t>Technology Business Management</t>
  </si>
  <si>
    <t>AI/ML Ops</t>
  </si>
  <si>
    <t>Data Fabric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</si>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</sst>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_([$$-409]* #,##0_);_([$$-409]* \(#,##0\);_([$$-409]* &quot;-&quot;??_);_(@_)"/>
    <numFmt numFmtId="165" formatCode="&quot;$&quot;#,##0.00"/>
    <numFmt numFmtId="166" formatCode="&quot;$&quot;#,##0"/>
  </numFmts>
  <fonts count="13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0" fillId="0" borderId="2" xfId="0" applyFill="1" applyBorder="1"/>
    <xf numFmtId="0" fontId="0" fillId="0" borderId="5" xfId="0" applyBorder="1"/>
    <xf numFmtId="0" fontId="0" fillId="0" borderId="6" xfId="0" applyBorder="1"/>
    <xf numFmtId="164" fontId="0" fillId="0" borderId="2" xfId="0" applyNumberFormat="1" applyBorder="1"/>
    <xf numFmtId="164" fontId="8" fillId="0" borderId="4" xfId="0" applyNumberFormat="1" applyFont="1" applyFill="1" applyBorder="1" applyAlignment="1"/>
    <xf numFmtId="164" fontId="8" fillId="0" borderId="7" xfId="0" applyNumberFormat="1" applyFont="1" applyFill="1" applyBorder="1" applyAlignment="1"/>
    <xf numFmtId="0" fontId="0" fillId="5" borderId="2" xfId="0" applyFill="1" applyBorder="1"/>
    <xf numFmtId="0" fontId="0" fillId="6" borderId="2" xfId="0" applyFill="1" applyBorder="1"/>
    <xf numFmtId="164" fontId="0" fillId="6" borderId="2" xfId="0" applyNumberFormat="1" applyFill="1" applyBorder="1"/>
    <xf numFmtId="0" fontId="9" fillId="0" borderId="2" xfId="0" applyFont="1" applyBorder="1"/>
    <xf numFmtId="0" fontId="10" fillId="7" borderId="2" xfId="0" applyFont="1" applyFill="1" applyBorder="1"/>
    <xf numFmtId="164" fontId="10" fillId="7" borderId="2" xfId="0" applyNumberFormat="1" applyFont="1" applyFill="1" applyBorder="1"/>
    <xf numFmtId="164" fontId="0" fillId="0" borderId="2" xfId="0" applyNumberFormat="1" applyFill="1" applyBorder="1"/>
    <xf numFmtId="0" fontId="0" fillId="0" borderId="0" xfId="0" applyFill="1"/>
    <xf numFmtId="0" fontId="0" fillId="0" borderId="5" xfId="0" applyFill="1" applyBorder="1"/>
    <xf numFmtId="0" fontId="10" fillId="0" borderId="2" xfId="0" applyFont="1" applyFill="1" applyBorder="1"/>
    <xf numFmtId="164" fontId="10" fillId="0" borderId="2" xfId="0" applyNumberFormat="1" applyFont="1" applyFill="1" applyBorder="1"/>
    <xf numFmtId="0" fontId="9" fillId="0" borderId="2" xfId="0" applyFont="1" applyFill="1" applyBorder="1"/>
    <xf numFmtId="0" fontId="0" fillId="2" borderId="2" xfId="0" applyFill="1" applyBorder="1"/>
    <xf numFmtId="165" fontId="0" fillId="0" borderId="0" xfId="0" applyNumberFormat="1"/>
    <xf numFmtId="0" fontId="0" fillId="8" borderId="0" xfId="0" applyFill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4" fillId="0" borderId="4" xfId="0" applyFont="1" applyBorder="1"/>
    <xf numFmtId="0" fontId="0" fillId="0" borderId="4" xfId="0" applyBorder="1"/>
    <xf numFmtId="0" fontId="0" fillId="7" borderId="4" xfId="0" applyFill="1" applyBorder="1"/>
    <xf numFmtId="0" fontId="0" fillId="0" borderId="4" xfId="0" applyFill="1" applyBorder="1"/>
    <xf numFmtId="0" fontId="0" fillId="8" borderId="4" xfId="0" applyFill="1" applyBorder="1"/>
    <xf numFmtId="0" fontId="5" fillId="3" borderId="9" xfId="0" applyFont="1" applyFill="1" applyBorder="1"/>
    <xf numFmtId="0" fontId="11" fillId="8" borderId="4" xfId="0" applyFont="1" applyFill="1" applyBorder="1" applyAlignment="1"/>
    <xf numFmtId="0" fontId="12" fillId="8" borderId="4" xfId="0" applyFont="1" applyFill="1" applyBorder="1" applyAlignment="1"/>
    <xf numFmtId="165" fontId="4" fillId="0" borderId="4" xfId="0" applyNumberFormat="1" applyFont="1" applyBorder="1"/>
    <xf numFmtId="166" fontId="0" fillId="0" borderId="4" xfId="0" applyNumberFormat="1" applyBorder="1"/>
    <xf numFmtId="6" fontId="8" fillId="0" borderId="4" xfId="0" applyNumberFormat="1" applyFont="1" applyFill="1" applyBorder="1" applyAlignment="1"/>
    <xf numFmtId="164" fontId="0" fillId="0" borderId="4" xfId="0" applyNumberFormat="1" applyFill="1" applyBorder="1"/>
    <xf numFmtId="166" fontId="0" fillId="8" borderId="4" xfId="0" applyNumberFormat="1" applyFill="1" applyBorder="1"/>
    <xf numFmtId="166" fontId="0" fillId="0" borderId="4" xfId="0" applyNumberFormat="1" applyFill="1" applyBorder="1"/>
    <xf numFmtId="0" fontId="4" fillId="0" borderId="10" xfId="0" applyFont="1" applyBorder="1"/>
    <xf numFmtId="0" fontId="0" fillId="0" borderId="10" xfId="0" applyFill="1" applyBorder="1"/>
    <xf numFmtId="0" fontId="0" fillId="8" borderId="10" xfId="0" applyFill="1" applyBorder="1"/>
    <xf numFmtId="0" fontId="11" fillId="8" borderId="10" xfId="0" applyFont="1" applyFill="1" applyBorder="1" applyAlignment="1"/>
    <xf numFmtId="0" fontId="4" fillId="0" borderId="8" xfId="0" applyFont="1" applyBorder="1"/>
    <xf numFmtId="165" fontId="5" fillId="3" borderId="9" xfId="0" applyNumberFormat="1" applyFont="1" applyFill="1" applyBorder="1"/>
    <xf numFmtId="166" fontId="0" fillId="5" borderId="4" xfId="0" applyNumberFormat="1" applyFill="1" applyBorder="1"/>
    <xf numFmtId="165" fontId="0" fillId="0" borderId="4" xfId="0" applyNumberFormat="1" applyBorder="1"/>
    <xf numFmtId="164" fontId="0" fillId="0" borderId="9" xfId="0" applyNumberFormat="1" applyFill="1" applyBorder="1"/>
    <xf numFmtId="0" fontId="0" fillId="0" borderId="9" xfId="0" applyFill="1" applyBorder="1"/>
    <xf numFmtId="164" fontId="8" fillId="0" borderId="11" xfId="0" applyNumberFormat="1" applyFont="1" applyFill="1" applyBorder="1" applyAlignment="1"/>
    <xf numFmtId="164" fontId="0" fillId="0" borderId="6" xfId="0" applyNumberFormat="1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by Qian" id="{2F607053-A4A3-49C5-B7BD-C6FFB7137CC0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" dT="2026-03-03T20:54:06.90" personId="{2F607053-A4A3-49C5-B7BD-C6FFB7137CC0}" id="{ECD00007-C25D-4BB3-BA6F-C623EEF9C8A7}">
    <text>Canada Events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" dT="2026-03-03T20:54:06.90" personId="{2F607053-A4A3-49C5-B7BD-C6FFB7137CC0}" id="{E8540392-27A7-423C-8D2C-7F82EF4FD94A}">
    <text>Canada Events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92D050"/>
  </sheetPr>
  <dimension ref="A1:J26"/>
  <sheetViews>
    <sheetView workbookViewId="0">
      <selection activeCell="L13" sqref="L13"/>
    </sheetView>
  </sheetViews>
  <sheetFormatPr defaultColWidth="8.75" defaultRowHeight="15.6"/>
  <cols>
    <col min="1" max="1" width="56.125" style="5" bestFit="1" customWidth="1"/>
    <col min="2" max="2" width="10.375" style="5" bestFit="1" customWidth="1"/>
    <col min="3" max="3" width="18.75" style="5" bestFit="1" customWidth="1"/>
    <col min="4" max="4" width="22" style="5" bestFit="1" customWidth="1"/>
    <col min="5" max="5" width="10.875" style="5" bestFit="1" customWidth="1"/>
    <col min="6" max="7" width="10.125" style="5" bestFit="1" customWidth="1"/>
    <col min="8" max="8" width="11" style="5" bestFit="1" customWidth="1"/>
    <col min="9" max="9" width="11.875" style="5" bestFit="1" customWidth="1"/>
    <col min="10" max="16384" width="8.75" style="5"/>
  </cols>
  <sheetData>
    <row r="1" spans="1:9" s="6" customFormat="1" ht="21">
      <c r="A1" s="6" t="s">
        <v>0</v>
      </c>
      <c r="I1" s="6" t="s">
        <v>1</v>
      </c>
    </row>
    <row r="2" spans="1:9" s="7" customForma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</v>
      </c>
    </row>
    <row r="3" spans="1:9">
      <c r="A3" s="5" t="s">
        <v>10</v>
      </c>
      <c r="B3" s="20" t="s">
        <v>11</v>
      </c>
      <c r="C3" s="5" t="s">
        <v>12</v>
      </c>
      <c r="D3" s="5" t="s">
        <v>13</v>
      </c>
      <c r="E3" s="16">
        <v>36000</v>
      </c>
      <c r="F3" s="16">
        <v>108000</v>
      </c>
      <c r="G3" s="16">
        <v>144000</v>
      </c>
      <c r="H3" s="16">
        <v>432000</v>
      </c>
      <c r="I3" s="21">
        <f>SUM(E3:H3)</f>
        <v>720000</v>
      </c>
    </row>
    <row r="4" spans="1:9">
      <c r="A4" s="5" t="s">
        <v>14</v>
      </c>
      <c r="B4" s="20" t="s">
        <v>15</v>
      </c>
      <c r="C4" s="5" t="s">
        <v>12</v>
      </c>
      <c r="D4" s="5" t="s">
        <v>16</v>
      </c>
      <c r="E4" s="16">
        <v>1661933</v>
      </c>
      <c r="F4" s="16">
        <v>485799</v>
      </c>
      <c r="G4" s="16">
        <v>647732</v>
      </c>
      <c r="H4" s="16">
        <v>1943197</v>
      </c>
      <c r="I4" s="21">
        <f t="shared" ref="I4:I23" si="0">SUM(E4:H4)</f>
        <v>4738661</v>
      </c>
    </row>
    <row r="5" spans="1:9">
      <c r="A5" s="5" t="s">
        <v>17</v>
      </c>
      <c r="B5" s="20" t="s">
        <v>18</v>
      </c>
      <c r="C5" s="5" t="s">
        <v>12</v>
      </c>
      <c r="D5" s="5" t="s">
        <v>13</v>
      </c>
      <c r="E5" s="16">
        <v>5894</v>
      </c>
      <c r="F5" s="16">
        <v>17681</v>
      </c>
      <c r="G5" s="16">
        <v>23574</v>
      </c>
      <c r="H5" s="16">
        <v>70723</v>
      </c>
      <c r="I5" s="21">
        <f t="shared" si="0"/>
        <v>117872</v>
      </c>
    </row>
    <row r="6" spans="1:9">
      <c r="A6" s="5" t="s">
        <v>19</v>
      </c>
      <c r="B6" s="20" t="s">
        <v>20</v>
      </c>
      <c r="C6" s="5" t="s">
        <v>21</v>
      </c>
      <c r="D6" s="5" t="s">
        <v>22</v>
      </c>
      <c r="E6" s="16">
        <v>4998</v>
      </c>
      <c r="F6" s="16">
        <v>14992</v>
      </c>
      <c r="G6" s="16">
        <v>19988</v>
      </c>
      <c r="H6" s="16">
        <v>59964</v>
      </c>
      <c r="I6" s="21">
        <f t="shared" si="0"/>
        <v>99942</v>
      </c>
    </row>
    <row r="7" spans="1:9">
      <c r="A7" s="5" t="s">
        <v>23</v>
      </c>
      <c r="B7" s="20" t="s">
        <v>24</v>
      </c>
      <c r="C7" s="5" t="s">
        <v>12</v>
      </c>
      <c r="D7" s="13" t="s">
        <v>13</v>
      </c>
      <c r="E7" s="16">
        <v>80736</v>
      </c>
      <c r="F7" s="16">
        <v>242207</v>
      </c>
      <c r="G7" s="16">
        <v>161471</v>
      </c>
      <c r="H7" s="16">
        <v>484414</v>
      </c>
      <c r="I7" s="21">
        <f>SUM(E7:H8)</f>
        <v>1937656</v>
      </c>
    </row>
    <row r="8" spans="1:9">
      <c r="D8" s="13" t="s">
        <v>16</v>
      </c>
      <c r="E8" s="16">
        <v>80736</v>
      </c>
      <c r="F8" s="16">
        <v>242207</v>
      </c>
      <c r="G8" s="16">
        <v>161471</v>
      </c>
      <c r="H8" s="16">
        <v>484414</v>
      </c>
      <c r="I8" s="21"/>
    </row>
    <row r="9" spans="1:9">
      <c r="A9" s="5" t="s">
        <v>25</v>
      </c>
      <c r="B9" s="20" t="s">
        <v>26</v>
      </c>
      <c r="C9" s="5" t="s">
        <v>12</v>
      </c>
      <c r="D9" s="13" t="s">
        <v>13</v>
      </c>
      <c r="E9" s="16">
        <v>80736</v>
      </c>
      <c r="F9" s="16">
        <v>242207</v>
      </c>
      <c r="G9" s="16">
        <v>161471</v>
      </c>
      <c r="H9" s="16">
        <v>484414</v>
      </c>
      <c r="I9" s="21">
        <f>SUM(E9:H10)</f>
        <v>1937656</v>
      </c>
    </row>
    <row r="10" spans="1:9">
      <c r="D10" s="13" t="s">
        <v>16</v>
      </c>
      <c r="E10" s="16">
        <v>80736</v>
      </c>
      <c r="F10" s="16">
        <v>242207</v>
      </c>
      <c r="G10" s="16">
        <v>161471</v>
      </c>
      <c r="H10" s="16">
        <v>484414</v>
      </c>
      <c r="I10" s="16"/>
    </row>
    <row r="11" spans="1:9">
      <c r="A11" s="5" t="s">
        <v>27</v>
      </c>
      <c r="B11" s="20" t="s">
        <v>28</v>
      </c>
      <c r="C11" s="5" t="s">
        <v>12</v>
      </c>
      <c r="D11" s="13" t="s">
        <v>13</v>
      </c>
      <c r="E11" s="16">
        <v>80736</v>
      </c>
      <c r="F11" s="16">
        <v>242207</v>
      </c>
      <c r="G11" s="16">
        <v>161471</v>
      </c>
      <c r="H11" s="16">
        <v>484414</v>
      </c>
      <c r="I11" s="21">
        <f>SUM(E11:H12)</f>
        <v>1937656</v>
      </c>
    </row>
    <row r="12" spans="1:9">
      <c r="D12" s="13" t="s">
        <v>16</v>
      </c>
      <c r="E12" s="16">
        <v>80736</v>
      </c>
      <c r="F12" s="16">
        <v>242207</v>
      </c>
      <c r="G12" s="16">
        <v>161471</v>
      </c>
      <c r="H12" s="16">
        <v>484414</v>
      </c>
      <c r="I12" s="16"/>
    </row>
    <row r="13" spans="1:9">
      <c r="A13" s="5" t="s">
        <v>29</v>
      </c>
      <c r="B13" s="20" t="s">
        <v>30</v>
      </c>
      <c r="C13" s="5" t="s">
        <v>12</v>
      </c>
      <c r="D13" s="13" t="s">
        <v>13</v>
      </c>
      <c r="E13" s="16">
        <v>80736</v>
      </c>
      <c r="F13" s="16">
        <v>242207</v>
      </c>
      <c r="G13" s="16">
        <v>161471</v>
      </c>
      <c r="H13" s="16">
        <v>484414</v>
      </c>
      <c r="I13" s="21">
        <f>SUM(E13:H14)</f>
        <v>1937656</v>
      </c>
    </row>
    <row r="14" spans="1:9">
      <c r="D14" s="13" t="s">
        <v>16</v>
      </c>
      <c r="E14" s="16">
        <v>80736</v>
      </c>
      <c r="F14" s="16">
        <v>242207</v>
      </c>
      <c r="G14" s="16">
        <v>161471</v>
      </c>
      <c r="H14" s="16">
        <v>484414</v>
      </c>
      <c r="I14" s="16"/>
    </row>
    <row r="15" spans="1:9">
      <c r="A15" s="5" t="s">
        <v>31</v>
      </c>
      <c r="B15" s="20" t="s">
        <v>32</v>
      </c>
      <c r="C15" s="5" t="s">
        <v>12</v>
      </c>
      <c r="D15" s="13" t="s">
        <v>13</v>
      </c>
      <c r="E15" s="16">
        <v>80736</v>
      </c>
      <c r="F15" s="16">
        <v>242207</v>
      </c>
      <c r="G15" s="16">
        <v>161471</v>
      </c>
      <c r="H15" s="16">
        <v>484414</v>
      </c>
      <c r="I15" s="21">
        <f>SUM(E15:H16)</f>
        <v>1937656</v>
      </c>
    </row>
    <row r="16" spans="1:9">
      <c r="D16" s="13" t="s">
        <v>16</v>
      </c>
      <c r="E16" s="16">
        <v>80736</v>
      </c>
      <c r="F16" s="16">
        <v>242207</v>
      </c>
      <c r="G16" s="16">
        <v>161471</v>
      </c>
      <c r="H16" s="16">
        <v>484414</v>
      </c>
      <c r="I16" s="16"/>
    </row>
    <row r="17" spans="1:10">
      <c r="A17" s="5" t="s">
        <v>33</v>
      </c>
      <c r="B17" s="20" t="s">
        <v>34</v>
      </c>
      <c r="C17" s="5" t="s">
        <v>12</v>
      </c>
      <c r="D17" s="13" t="s">
        <v>13</v>
      </c>
      <c r="E17" s="16">
        <v>80736</v>
      </c>
      <c r="F17" s="16">
        <v>242207</v>
      </c>
      <c r="G17" s="16">
        <v>161471</v>
      </c>
      <c r="H17" s="16">
        <v>484414</v>
      </c>
      <c r="I17" s="21">
        <f>SUM(E17:H18)</f>
        <v>1937656</v>
      </c>
    </row>
    <row r="18" spans="1:10">
      <c r="D18" s="13" t="s">
        <v>16</v>
      </c>
      <c r="E18" s="16">
        <v>80736</v>
      </c>
      <c r="F18" s="16">
        <v>242207</v>
      </c>
      <c r="G18" s="16">
        <v>161471</v>
      </c>
      <c r="H18" s="16">
        <v>484414</v>
      </c>
      <c r="I18" s="16">
        <f t="shared" si="0"/>
        <v>968828</v>
      </c>
    </row>
    <row r="19" spans="1:10" ht="15.75">
      <c r="A19" s="5" t="s">
        <v>35</v>
      </c>
      <c r="B19" s="20" t="s">
        <v>36</v>
      </c>
      <c r="C19" s="5" t="s">
        <v>21</v>
      </c>
      <c r="D19" s="14" t="s">
        <v>37</v>
      </c>
      <c r="E19" s="17">
        <v>49653</v>
      </c>
      <c r="F19" s="17">
        <v>148960</v>
      </c>
      <c r="G19" s="17">
        <v>198613</v>
      </c>
      <c r="H19" s="17">
        <v>595839</v>
      </c>
      <c r="I19" s="21">
        <f>SUM(E19:H19)</f>
        <v>993065</v>
      </c>
    </row>
    <row r="20" spans="1:10" ht="15.75">
      <c r="A20" s="5" t="s">
        <v>38</v>
      </c>
      <c r="B20" s="20" t="s">
        <v>39</v>
      </c>
      <c r="C20" s="5" t="s">
        <v>12</v>
      </c>
      <c r="D20" s="5" t="s">
        <v>16</v>
      </c>
      <c r="E20" s="17">
        <v>16800</v>
      </c>
      <c r="F20" s="17">
        <v>50400</v>
      </c>
      <c r="G20" s="17">
        <v>67200</v>
      </c>
      <c r="H20" s="17">
        <v>201600</v>
      </c>
      <c r="I20" s="21">
        <f>SUM(E20:H20)</f>
        <v>336000</v>
      </c>
    </row>
    <row r="21" spans="1:10" ht="15.75">
      <c r="A21" s="5" t="s">
        <v>40</v>
      </c>
      <c r="B21" s="23" t="s">
        <v>41</v>
      </c>
      <c r="C21" s="5" t="s">
        <v>21</v>
      </c>
      <c r="D21" s="14" t="s">
        <v>22</v>
      </c>
      <c r="E21" s="18">
        <v>26863</v>
      </c>
      <c r="F21" s="18">
        <v>80589</v>
      </c>
      <c r="G21" s="18">
        <v>107452</v>
      </c>
      <c r="H21" s="18">
        <v>322356</v>
      </c>
      <c r="I21" s="24">
        <f t="shared" si="0"/>
        <v>537260</v>
      </c>
      <c r="J21" s="22"/>
    </row>
    <row r="22" spans="1:10" ht="15.75">
      <c r="A22" s="19" t="s">
        <v>42</v>
      </c>
      <c r="B22" s="20" t="s">
        <v>43</v>
      </c>
      <c r="C22" s="5" t="s">
        <v>21</v>
      </c>
      <c r="D22" s="14" t="s">
        <v>37</v>
      </c>
      <c r="E22" s="17">
        <v>313596</v>
      </c>
      <c r="F22" s="17">
        <v>940787</v>
      </c>
      <c r="G22" s="17">
        <v>1254383</v>
      </c>
      <c r="H22" s="17">
        <v>3763149</v>
      </c>
      <c r="I22" s="21">
        <f t="shared" si="0"/>
        <v>6271915</v>
      </c>
    </row>
    <row r="23" spans="1:10" ht="15.75">
      <c r="A23" s="13"/>
      <c r="B23" s="13"/>
      <c r="C23" s="5" t="s">
        <v>12</v>
      </c>
      <c r="D23" s="14" t="s">
        <v>16</v>
      </c>
      <c r="E23" s="17">
        <v>940787</v>
      </c>
      <c r="F23" s="17">
        <v>2822362</v>
      </c>
      <c r="G23" s="17">
        <v>3763149</v>
      </c>
      <c r="H23" s="17">
        <v>11289446</v>
      </c>
      <c r="I23" s="21">
        <f t="shared" si="0"/>
        <v>18815744</v>
      </c>
    </row>
    <row r="24" spans="1:10">
      <c r="A24" s="13"/>
      <c r="B24" s="13"/>
      <c r="E24" s="15"/>
      <c r="F24" s="15"/>
      <c r="G24" s="15"/>
      <c r="H24" s="15"/>
    </row>
    <row r="25" spans="1:10">
      <c r="A25" s="13"/>
      <c r="B25" s="13"/>
    </row>
    <row r="26" spans="1:10">
      <c r="A26" s="13"/>
      <c r="B26" s="1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C3:C464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FF77-3A53-4BB0-A9B6-626C8B6F3461}">
  <sheetPr>
    <tabColor rgb="FFFFC000"/>
  </sheetPr>
  <dimension ref="A1:J25"/>
  <sheetViews>
    <sheetView tabSelected="1" workbookViewId="0">
      <selection activeCell="E9" sqref="E9:J18"/>
    </sheetView>
  </sheetViews>
  <sheetFormatPr defaultRowHeight="15.75"/>
  <cols>
    <col min="1" max="1" width="43.75" customWidth="1"/>
    <col min="2" max="2" width="13.5" customWidth="1"/>
    <col min="3" max="4" width="26.625" customWidth="1"/>
    <col min="5" max="9" width="14.875" customWidth="1"/>
  </cols>
  <sheetData>
    <row r="1" spans="1:10" ht="21">
      <c r="A1" s="6" t="s">
        <v>44</v>
      </c>
      <c r="B1" s="6"/>
      <c r="C1" s="6"/>
      <c r="D1" s="6"/>
      <c r="E1" s="6"/>
      <c r="F1" s="6"/>
      <c r="G1" s="6"/>
      <c r="H1" s="6"/>
      <c r="I1" s="6" t="s">
        <v>1</v>
      </c>
      <c r="J1" s="6"/>
    </row>
    <row r="2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</v>
      </c>
      <c r="J2" s="7"/>
    </row>
    <row r="3" spans="1:10" s="26" customFormat="1">
      <c r="A3" s="31" t="s">
        <v>45</v>
      </c>
      <c r="B3" s="13" t="s">
        <v>46</v>
      </c>
      <c r="C3" s="13" t="s">
        <v>21</v>
      </c>
      <c r="D3" s="13" t="s">
        <v>47</v>
      </c>
      <c r="E3" s="25">
        <v>100000</v>
      </c>
      <c r="F3" s="25">
        <v>301000</v>
      </c>
      <c r="G3" s="25">
        <v>401000</v>
      </c>
      <c r="H3" s="25">
        <v>1202000</v>
      </c>
      <c r="I3" s="25">
        <f>SUM(E3:H3)</f>
        <v>2004000</v>
      </c>
      <c r="J3" s="13"/>
    </row>
    <row r="4" spans="1:10" s="26" customFormat="1">
      <c r="A4" s="31" t="s">
        <v>48</v>
      </c>
      <c r="B4" s="13" t="s">
        <v>49</v>
      </c>
      <c r="C4" s="13" t="s">
        <v>12</v>
      </c>
      <c r="D4" s="13" t="s">
        <v>16</v>
      </c>
      <c r="E4" s="25">
        <v>48836</v>
      </c>
      <c r="F4" s="25">
        <v>146507</v>
      </c>
      <c r="G4" s="25">
        <v>195342</v>
      </c>
      <c r="H4" s="25">
        <v>586026</v>
      </c>
      <c r="I4" s="25">
        <f>SUM(E4:H4)</f>
        <v>976711</v>
      </c>
      <c r="J4" s="13"/>
    </row>
    <row r="5" spans="1:10" s="26" customFormat="1">
      <c r="A5" s="31" t="s">
        <v>50</v>
      </c>
      <c r="B5" s="13" t="s">
        <v>51</v>
      </c>
      <c r="C5" s="13" t="s">
        <v>12</v>
      </c>
      <c r="D5" s="13" t="s">
        <v>13</v>
      </c>
      <c r="E5" s="25">
        <v>8400</v>
      </c>
      <c r="F5" s="25">
        <v>25200</v>
      </c>
      <c r="G5" s="25">
        <v>33600</v>
      </c>
      <c r="H5" s="25">
        <v>100080</v>
      </c>
      <c r="I5" s="25">
        <f>SUM(E5:H5)</f>
        <v>167280</v>
      </c>
      <c r="J5" s="13"/>
    </row>
    <row r="6" spans="1:10" s="26" customFormat="1">
      <c r="A6" s="31" t="s">
        <v>52</v>
      </c>
      <c r="B6" s="13" t="s">
        <v>53</v>
      </c>
      <c r="C6" s="13" t="s">
        <v>12</v>
      </c>
      <c r="D6" s="13" t="s">
        <v>16</v>
      </c>
      <c r="E6" s="25">
        <v>141242</v>
      </c>
      <c r="F6" s="25">
        <v>423725</v>
      </c>
      <c r="G6" s="25">
        <v>564966</v>
      </c>
      <c r="H6" s="25">
        <v>1694899</v>
      </c>
      <c r="I6" s="25">
        <f>SUM(E6:H6)</f>
        <v>2824832</v>
      </c>
      <c r="J6" s="13"/>
    </row>
    <row r="7" spans="1:10" s="26" customFormat="1">
      <c r="A7" s="31" t="s">
        <v>54</v>
      </c>
      <c r="B7" s="13" t="s">
        <v>55</v>
      </c>
      <c r="C7" s="13" t="s">
        <v>12</v>
      </c>
      <c r="D7" s="13" t="s">
        <v>16</v>
      </c>
      <c r="E7" s="25">
        <v>38633</v>
      </c>
      <c r="F7" s="25">
        <v>115898</v>
      </c>
      <c r="G7" s="25">
        <v>154530</v>
      </c>
      <c r="H7" s="25">
        <v>463591</v>
      </c>
      <c r="I7" s="25">
        <f>SUM(E7:H7)</f>
        <v>772652</v>
      </c>
      <c r="J7" s="13"/>
    </row>
    <row r="8" spans="1:10" s="26" customFormat="1">
      <c r="A8" s="31" t="s">
        <v>56</v>
      </c>
      <c r="B8" s="13" t="s">
        <v>57</v>
      </c>
      <c r="C8" s="13" t="s">
        <v>12</v>
      </c>
      <c r="D8" s="13" t="s">
        <v>13</v>
      </c>
      <c r="E8" s="60">
        <v>32140</v>
      </c>
      <c r="F8" s="60">
        <v>96410</v>
      </c>
      <c r="G8" s="60">
        <v>128540</v>
      </c>
      <c r="H8" s="60">
        <v>385630</v>
      </c>
      <c r="I8" s="60">
        <f>SUM(E8:H8)</f>
        <v>642720</v>
      </c>
      <c r="J8" s="61"/>
    </row>
    <row r="9" spans="1:10" s="26" customFormat="1">
      <c r="A9" s="20" t="s">
        <v>58</v>
      </c>
      <c r="B9" s="13" t="s">
        <v>59</v>
      </c>
      <c r="C9" s="13"/>
      <c r="D9" s="27"/>
      <c r="E9" s="49" t="s">
        <v>60</v>
      </c>
      <c r="F9" s="49" t="s">
        <v>60</v>
      </c>
      <c r="G9" s="49" t="s">
        <v>60</v>
      </c>
      <c r="H9" s="49" t="s">
        <v>60</v>
      </c>
      <c r="I9" s="49"/>
      <c r="J9" s="39" t="s">
        <v>61</v>
      </c>
    </row>
    <row r="10" spans="1:10" s="26" customFormat="1">
      <c r="A10" s="31" t="s">
        <v>62</v>
      </c>
      <c r="B10" s="13" t="s">
        <v>63</v>
      </c>
      <c r="C10" s="13" t="s">
        <v>64</v>
      </c>
      <c r="D10" s="27" t="s">
        <v>65</v>
      </c>
      <c r="E10" s="48">
        <v>42500</v>
      </c>
      <c r="F10" s="48">
        <v>57500</v>
      </c>
      <c r="G10" s="48">
        <v>62500</v>
      </c>
      <c r="H10" s="48">
        <v>87500</v>
      </c>
      <c r="I10" s="48">
        <f>SUM(E10:H10)</f>
        <v>250000</v>
      </c>
      <c r="J10" s="39" t="s">
        <v>61</v>
      </c>
    </row>
    <row r="11" spans="1:10" s="26" customFormat="1">
      <c r="A11" s="31" t="s">
        <v>62</v>
      </c>
      <c r="B11" s="13" t="s">
        <v>63</v>
      </c>
      <c r="C11" s="13" t="s">
        <v>12</v>
      </c>
      <c r="D11" s="27" t="s">
        <v>13</v>
      </c>
      <c r="E11" s="48">
        <v>12500</v>
      </c>
      <c r="F11" s="48">
        <v>37500</v>
      </c>
      <c r="G11" s="48">
        <v>50000</v>
      </c>
      <c r="H11" s="48">
        <v>150000</v>
      </c>
      <c r="I11" s="48">
        <f>SUM(E11:H11)</f>
        <v>250000</v>
      </c>
      <c r="J11" s="39" t="s">
        <v>61</v>
      </c>
    </row>
    <row r="12" spans="1:10" s="26" customFormat="1">
      <c r="A12" s="31" t="s">
        <v>66</v>
      </c>
      <c r="B12" s="13" t="s">
        <v>67</v>
      </c>
      <c r="C12" s="13" t="s">
        <v>12</v>
      </c>
      <c r="D12" s="27" t="s">
        <v>13</v>
      </c>
      <c r="E12" s="58">
        <v>12500</v>
      </c>
      <c r="F12" s="58">
        <v>37500</v>
      </c>
      <c r="G12" s="58">
        <v>50000</v>
      </c>
      <c r="H12" s="58">
        <v>150000</v>
      </c>
      <c r="I12" s="58">
        <f t="shared" ref="I12:I13" si="0">SUM(E12:H12)</f>
        <v>250000</v>
      </c>
      <c r="J12" s="39" t="s">
        <v>61</v>
      </c>
    </row>
    <row r="13" spans="1:10" s="26" customFormat="1">
      <c r="A13" s="31" t="s">
        <v>66</v>
      </c>
      <c r="B13" s="13" t="s">
        <v>67</v>
      </c>
      <c r="C13" s="13" t="s">
        <v>64</v>
      </c>
      <c r="D13" s="27" t="s">
        <v>65</v>
      </c>
      <c r="E13" s="58">
        <v>42500</v>
      </c>
      <c r="F13" s="58">
        <v>57500</v>
      </c>
      <c r="G13" s="58">
        <v>62500</v>
      </c>
      <c r="H13" s="58">
        <v>87500</v>
      </c>
      <c r="I13" s="58">
        <f t="shared" si="0"/>
        <v>250000</v>
      </c>
      <c r="J13" s="39" t="s">
        <v>61</v>
      </c>
    </row>
    <row r="14" spans="1:10" s="26" customFormat="1">
      <c r="A14" s="20" t="s">
        <v>68</v>
      </c>
      <c r="B14" s="13" t="s">
        <v>69</v>
      </c>
      <c r="C14" s="13"/>
      <c r="D14" s="27"/>
      <c r="E14" s="49" t="s">
        <v>60</v>
      </c>
      <c r="F14" s="49" t="s">
        <v>60</v>
      </c>
      <c r="G14" s="49" t="s">
        <v>60</v>
      </c>
      <c r="H14" s="49" t="s">
        <v>60</v>
      </c>
      <c r="I14" s="49"/>
      <c r="J14" s="39" t="s">
        <v>61</v>
      </c>
    </row>
    <row r="15" spans="1:10" s="26" customFormat="1">
      <c r="A15" t="s">
        <v>70</v>
      </c>
      <c r="B15" t="s">
        <v>71</v>
      </c>
      <c r="C15" s="13" t="s">
        <v>12</v>
      </c>
      <c r="D15" s="27" t="s">
        <v>72</v>
      </c>
      <c r="E15" s="59">
        <v>12500</v>
      </c>
      <c r="F15" s="59">
        <v>37500</v>
      </c>
      <c r="G15" s="59">
        <v>50000</v>
      </c>
      <c r="H15" s="59">
        <v>150000</v>
      </c>
      <c r="I15" s="59">
        <f>SUM(E15:H15)</f>
        <v>250000</v>
      </c>
      <c r="J15" s="39"/>
    </row>
    <row r="16" spans="1:10" s="26" customFormat="1">
      <c r="A16" s="31" t="s">
        <v>73</v>
      </c>
      <c r="B16" s="13" t="s">
        <v>74</v>
      </c>
      <c r="C16" s="13" t="s">
        <v>12</v>
      </c>
      <c r="D16" s="27" t="s">
        <v>13</v>
      </c>
      <c r="E16" s="48">
        <v>12500</v>
      </c>
      <c r="F16" s="48">
        <v>37500</v>
      </c>
      <c r="G16" s="48">
        <v>50000</v>
      </c>
      <c r="H16" s="48">
        <v>150000</v>
      </c>
      <c r="I16" s="48">
        <f>SUM(E16:H16)</f>
        <v>250000</v>
      </c>
      <c r="J16" s="39" t="s">
        <v>61</v>
      </c>
    </row>
    <row r="17" spans="1:10" s="26" customFormat="1">
      <c r="A17" s="31" t="s">
        <v>73</v>
      </c>
      <c r="B17" s="13" t="s">
        <v>74</v>
      </c>
      <c r="C17" s="13" t="s">
        <v>64</v>
      </c>
      <c r="D17" s="27" t="s">
        <v>65</v>
      </c>
      <c r="E17" s="48">
        <v>42500</v>
      </c>
      <c r="F17" s="48">
        <v>57500</v>
      </c>
      <c r="G17" s="48">
        <v>62500</v>
      </c>
      <c r="H17" s="48">
        <v>87500</v>
      </c>
      <c r="I17" s="48">
        <f>SUM(E17:H17)</f>
        <v>250000</v>
      </c>
      <c r="J17" s="39" t="s">
        <v>61</v>
      </c>
    </row>
    <row r="18" spans="1:10" s="26" customFormat="1">
      <c r="A18" s="31" t="s">
        <v>75</v>
      </c>
      <c r="B18" s="13" t="s">
        <v>76</v>
      </c>
      <c r="C18" s="13" t="s">
        <v>12</v>
      </c>
      <c r="D18" s="27" t="s">
        <v>16</v>
      </c>
      <c r="E18" s="48">
        <v>12500</v>
      </c>
      <c r="F18" s="48">
        <v>37500</v>
      </c>
      <c r="G18" s="48">
        <v>50000</v>
      </c>
      <c r="H18" s="48">
        <v>150000</v>
      </c>
      <c r="I18" s="48">
        <f>SUM(E18:H18)</f>
        <v>250000</v>
      </c>
      <c r="J18" s="41"/>
    </row>
    <row r="19" spans="1:10" s="26" customFormat="1">
      <c r="A19" s="13"/>
      <c r="B19" s="13"/>
      <c r="C19" s="13"/>
      <c r="D19" s="27"/>
      <c r="E19" s="62"/>
      <c r="F19" s="62"/>
      <c r="G19" s="62"/>
      <c r="H19" s="62"/>
      <c r="I19" s="63"/>
      <c r="J19" s="64"/>
    </row>
    <row r="20" spans="1:10" s="26" customFormat="1">
      <c r="A20" s="13"/>
      <c r="B20" s="28"/>
      <c r="C20" s="13"/>
      <c r="D20" s="27"/>
      <c r="E20" s="18"/>
      <c r="F20" s="18"/>
      <c r="G20" s="18"/>
      <c r="H20" s="18"/>
      <c r="I20" s="29"/>
      <c r="J20" s="30"/>
    </row>
    <row r="21" spans="1:10" s="26" customFormat="1">
      <c r="A21" s="13"/>
      <c r="B21" s="13"/>
      <c r="C21" s="13"/>
      <c r="D21" s="27"/>
      <c r="E21" s="17"/>
      <c r="F21" s="17"/>
      <c r="G21" s="17"/>
      <c r="H21" s="17"/>
      <c r="I21" s="25"/>
      <c r="J21" s="13"/>
    </row>
    <row r="22" spans="1:10" s="26" customFormat="1">
      <c r="A22" s="13"/>
      <c r="B22" s="13"/>
      <c r="C22" s="13"/>
      <c r="D22" s="27"/>
      <c r="E22" s="17"/>
      <c r="F22" s="17"/>
      <c r="G22" s="17"/>
      <c r="H22" s="17"/>
      <c r="I22" s="25"/>
      <c r="J22" s="13"/>
    </row>
    <row r="23" spans="1:10">
      <c r="A23" s="13"/>
      <c r="B23" s="13"/>
      <c r="C23" s="5"/>
      <c r="D23" s="5"/>
      <c r="E23" s="15"/>
      <c r="F23" s="15"/>
      <c r="G23" s="15"/>
      <c r="H23" s="15"/>
      <c r="I23" s="5"/>
      <c r="J23" s="5"/>
    </row>
    <row r="24" spans="1:10">
      <c r="A24" s="13"/>
      <c r="B24" s="13"/>
      <c r="C24" s="5"/>
      <c r="D24" s="5"/>
      <c r="E24" s="5"/>
      <c r="F24" s="5"/>
      <c r="G24" s="5"/>
      <c r="H24" s="5"/>
      <c r="I24" s="5"/>
      <c r="J24" s="5"/>
    </row>
    <row r="25" spans="1:10">
      <c r="A25" s="13"/>
      <c r="B25" s="13"/>
      <c r="C25" s="5"/>
      <c r="D25" s="5"/>
      <c r="E25" s="5"/>
      <c r="F25" s="5"/>
      <c r="G25" s="5"/>
      <c r="H25" s="5"/>
      <c r="I25" s="5"/>
      <c r="J25" s="5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61741A-E040-47CE-9385-F10701A71020}">
          <x14:formula1>
            <xm:f>'Options for KPI UT Levels'!$A$2:$A$47</xm:f>
          </x14:formula1>
          <xm:sqref>H1 C3:C25</xm:sqref>
        </x14:dataValidation>
        <x14:dataValidation type="list" allowBlank="1" showInputMessage="1" showErrorMessage="1" xr:uid="{809EEBA2-DB2B-4BC2-82B6-C0A85A7C1F46}">
          <x14:formula1>
            <xm:f>'Options for KPI UT Levels'!$B$2:$B$47</xm:f>
          </x14:formula1>
          <xm:sqref>D3:D25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9111-8AC5-4965-8366-7BBB42EF12A7}">
  <sheetPr>
    <tabColor rgb="FF00B0F0"/>
  </sheetPr>
  <dimension ref="A1:J16"/>
  <sheetViews>
    <sheetView workbookViewId="0">
      <selection activeCell="E7" sqref="E7"/>
    </sheetView>
  </sheetViews>
  <sheetFormatPr defaultRowHeight="15.75"/>
  <cols>
    <col min="1" max="1" width="76" customWidth="1"/>
    <col min="2" max="2" width="16.625" customWidth="1"/>
    <col min="3" max="3" width="18.75" bestFit="1" customWidth="1"/>
    <col min="4" max="4" width="22" bestFit="1" customWidth="1"/>
    <col min="5" max="9" width="19.75" style="32" customWidth="1"/>
    <col min="10" max="10" width="19.75" customWidth="1"/>
  </cols>
  <sheetData>
    <row r="1" spans="1:10" ht="21">
      <c r="A1" s="43" t="s">
        <v>77</v>
      </c>
      <c r="B1" s="43"/>
      <c r="C1" s="43"/>
      <c r="D1" s="43"/>
      <c r="E1" s="57"/>
      <c r="F1" s="57"/>
      <c r="G1" s="57"/>
      <c r="H1" s="57"/>
      <c r="I1" s="57" t="s">
        <v>1</v>
      </c>
      <c r="J1" s="6"/>
    </row>
    <row r="2" spans="1:10">
      <c r="A2" s="38" t="s">
        <v>2</v>
      </c>
      <c r="B2" s="38" t="s">
        <v>3</v>
      </c>
      <c r="C2" s="38" t="s">
        <v>4</v>
      </c>
      <c r="D2" s="52" t="s">
        <v>5</v>
      </c>
      <c r="E2" s="46" t="s">
        <v>6</v>
      </c>
      <c r="F2" s="46" t="s">
        <v>7</v>
      </c>
      <c r="G2" s="46" t="s">
        <v>8</v>
      </c>
      <c r="H2" s="46" t="s">
        <v>9</v>
      </c>
      <c r="I2" s="46" t="s">
        <v>1</v>
      </c>
      <c r="J2" s="56"/>
    </row>
    <row r="3" spans="1:10">
      <c r="A3" s="39" t="s">
        <v>78</v>
      </c>
      <c r="B3" s="40" t="s">
        <v>79</v>
      </c>
      <c r="C3" s="41" t="s">
        <v>12</v>
      </c>
      <c r="D3" s="53" t="s">
        <v>13</v>
      </c>
      <c r="E3" s="47">
        <v>350000</v>
      </c>
      <c r="F3" s="47">
        <v>385000</v>
      </c>
      <c r="G3" s="47">
        <v>424000</v>
      </c>
      <c r="H3" s="47">
        <v>465000</v>
      </c>
      <c r="I3" s="47">
        <f>SUM(E3:H3)</f>
        <v>1624000</v>
      </c>
    </row>
    <row r="4" spans="1:10">
      <c r="A4" s="39" t="s">
        <v>80</v>
      </c>
      <c r="B4" s="40" t="s">
        <v>81</v>
      </c>
      <c r="C4" s="41" t="s">
        <v>12</v>
      </c>
      <c r="D4" s="53" t="s">
        <v>16</v>
      </c>
      <c r="E4" s="48">
        <v>158504</v>
      </c>
      <c r="F4" s="48">
        <v>475511</v>
      </c>
      <c r="G4" s="48">
        <v>634014</v>
      </c>
      <c r="H4" s="48">
        <v>1902043</v>
      </c>
      <c r="I4" s="49">
        <f>SUM(E4:H4)</f>
        <v>3170072</v>
      </c>
    </row>
    <row r="5" spans="1:10">
      <c r="A5" s="39" t="s">
        <v>82</v>
      </c>
      <c r="B5" s="40" t="s">
        <v>83</v>
      </c>
      <c r="C5" s="41" t="s">
        <v>12</v>
      </c>
      <c r="D5" s="53" t="s">
        <v>13</v>
      </c>
      <c r="E5" s="48">
        <v>5894</v>
      </c>
      <c r="F5" s="48">
        <v>17681</v>
      </c>
      <c r="G5" s="48">
        <v>23574</v>
      </c>
      <c r="H5" s="48">
        <v>70723</v>
      </c>
      <c r="I5" s="47">
        <f t="shared" ref="I4:I15" si="0">SUM(E5:H5)</f>
        <v>117872</v>
      </c>
    </row>
    <row r="6" spans="1:10">
      <c r="A6" s="39" t="s">
        <v>84</v>
      </c>
      <c r="B6" s="40" t="s">
        <v>85</v>
      </c>
      <c r="C6" s="41" t="s">
        <v>12</v>
      </c>
      <c r="D6" s="53" t="s">
        <v>22</v>
      </c>
      <c r="E6" s="48">
        <v>50000</v>
      </c>
      <c r="F6" s="48">
        <v>150000</v>
      </c>
      <c r="G6" s="48">
        <v>200000</v>
      </c>
      <c r="H6" s="48">
        <v>600000</v>
      </c>
      <c r="I6" s="47">
        <f t="shared" si="0"/>
        <v>1000000</v>
      </c>
    </row>
    <row r="7" spans="1:10">
      <c r="A7" s="39" t="s">
        <v>86</v>
      </c>
      <c r="B7" s="40" t="s">
        <v>87</v>
      </c>
      <c r="C7" s="41" t="s">
        <v>12</v>
      </c>
      <c r="D7" s="53" t="s">
        <v>16</v>
      </c>
      <c r="E7" s="48">
        <v>44574</v>
      </c>
      <c r="F7" s="48">
        <v>133723</v>
      </c>
      <c r="G7" s="48">
        <v>178297</v>
      </c>
      <c r="H7" s="48">
        <v>534890</v>
      </c>
      <c r="I7" s="47">
        <f t="shared" si="0"/>
        <v>891484</v>
      </c>
    </row>
    <row r="8" spans="1:10">
      <c r="A8" s="39" t="s">
        <v>88</v>
      </c>
      <c r="B8" s="40" t="s">
        <v>89</v>
      </c>
      <c r="C8" s="41" t="s">
        <v>12</v>
      </c>
      <c r="D8" s="53" t="s">
        <v>16</v>
      </c>
      <c r="E8" s="48">
        <v>73791</v>
      </c>
      <c r="F8" s="48">
        <v>221372</v>
      </c>
      <c r="G8" s="48">
        <v>295162</v>
      </c>
      <c r="H8" s="48">
        <v>885486</v>
      </c>
      <c r="I8" s="49">
        <f>SUM(E8:H8)</f>
        <v>1475811</v>
      </c>
    </row>
    <row r="9" spans="1:10">
      <c r="A9" s="39" t="s">
        <v>90</v>
      </c>
      <c r="B9" s="40" t="s">
        <v>91</v>
      </c>
      <c r="C9" s="41" t="s">
        <v>12</v>
      </c>
      <c r="D9" s="53" t="s">
        <v>16</v>
      </c>
      <c r="E9" s="48">
        <v>158504</v>
      </c>
      <c r="F9" s="48">
        <v>475511</v>
      </c>
      <c r="G9" s="48">
        <v>634014</v>
      </c>
      <c r="H9" s="48">
        <v>1902043</v>
      </c>
      <c r="I9" s="47">
        <f t="shared" si="0"/>
        <v>3170072</v>
      </c>
    </row>
    <row r="10" spans="1:10" s="33" customFormat="1">
      <c r="A10" s="42" t="s">
        <v>92</v>
      </c>
      <c r="B10" s="42" t="s">
        <v>93</v>
      </c>
      <c r="C10" s="42" t="s">
        <v>12</v>
      </c>
      <c r="D10" s="54" t="s">
        <v>13</v>
      </c>
      <c r="E10" s="50">
        <v>0</v>
      </c>
      <c r="F10" s="50">
        <v>0</v>
      </c>
      <c r="G10" s="50">
        <v>0</v>
      </c>
      <c r="H10" s="50">
        <v>0</v>
      </c>
      <c r="I10" s="50">
        <f t="shared" si="0"/>
        <v>0</v>
      </c>
      <c r="J10" s="33" t="s">
        <v>94</v>
      </c>
    </row>
    <row r="11" spans="1:10" s="33" customFormat="1">
      <c r="A11" s="42" t="s">
        <v>95</v>
      </c>
      <c r="B11" s="42" t="s">
        <v>96</v>
      </c>
      <c r="C11" s="42" t="s">
        <v>12</v>
      </c>
      <c r="D11" s="54" t="s">
        <v>13</v>
      </c>
      <c r="E11" s="50">
        <v>0</v>
      </c>
      <c r="F11" s="50">
        <v>0</v>
      </c>
      <c r="G11" s="50">
        <v>0</v>
      </c>
      <c r="H11" s="50">
        <v>0</v>
      </c>
      <c r="I11" s="50">
        <f t="shared" si="0"/>
        <v>0</v>
      </c>
      <c r="J11" s="33" t="s">
        <v>94</v>
      </c>
    </row>
    <row r="12" spans="1:10" s="33" customFormat="1">
      <c r="A12" s="42" t="s">
        <v>97</v>
      </c>
      <c r="B12" s="42" t="s">
        <v>98</v>
      </c>
      <c r="C12" s="42" t="s">
        <v>64</v>
      </c>
      <c r="D12" s="54" t="s">
        <v>65</v>
      </c>
      <c r="E12" s="50">
        <v>42500</v>
      </c>
      <c r="F12" s="50">
        <v>57500</v>
      </c>
      <c r="G12" s="50">
        <v>62500</v>
      </c>
      <c r="H12" s="50">
        <v>87500</v>
      </c>
      <c r="I12" s="50">
        <f t="shared" si="0"/>
        <v>250000</v>
      </c>
      <c r="J12" s="33" t="s">
        <v>61</v>
      </c>
    </row>
    <row r="13" spans="1:10" s="33" customFormat="1">
      <c r="A13" s="42" t="s">
        <v>97</v>
      </c>
      <c r="B13" s="42" t="s">
        <v>98</v>
      </c>
      <c r="C13" s="42" t="s">
        <v>12</v>
      </c>
      <c r="D13" s="54" t="s">
        <v>13</v>
      </c>
      <c r="E13" s="50">
        <v>12500</v>
      </c>
      <c r="F13" s="50">
        <v>37500</v>
      </c>
      <c r="G13" s="50">
        <v>50000</v>
      </c>
      <c r="H13" s="50">
        <v>150000</v>
      </c>
      <c r="I13" s="50">
        <f t="shared" si="0"/>
        <v>250000</v>
      </c>
      <c r="J13" s="33" t="s">
        <v>61</v>
      </c>
    </row>
    <row r="14" spans="1:10" s="33" customFormat="1">
      <c r="A14" s="42" t="s">
        <v>99</v>
      </c>
      <c r="B14" s="42" t="s">
        <v>100</v>
      </c>
      <c r="C14" s="44" t="s">
        <v>12</v>
      </c>
      <c r="D14" s="55" t="s">
        <v>16</v>
      </c>
      <c r="E14" s="50">
        <v>144000</v>
      </c>
      <c r="F14" s="50">
        <v>160000</v>
      </c>
      <c r="G14" s="50">
        <v>176000</v>
      </c>
      <c r="H14" s="50">
        <v>195000</v>
      </c>
      <c r="I14" s="50">
        <f t="shared" si="0"/>
        <v>675000</v>
      </c>
      <c r="J14" s="33" t="s">
        <v>61</v>
      </c>
    </row>
    <row r="15" spans="1:10" s="33" customFormat="1">
      <c r="A15" s="42" t="s">
        <v>101</v>
      </c>
      <c r="B15" s="45" t="s">
        <v>102</v>
      </c>
      <c r="C15" s="44" t="s">
        <v>12</v>
      </c>
      <c r="D15" s="55" t="s">
        <v>16</v>
      </c>
      <c r="E15" s="50">
        <v>144000</v>
      </c>
      <c r="F15" s="50">
        <v>160000</v>
      </c>
      <c r="G15" s="50">
        <v>176000</v>
      </c>
      <c r="H15" s="50">
        <v>195000</v>
      </c>
      <c r="I15" s="50">
        <f t="shared" si="0"/>
        <v>675000</v>
      </c>
      <c r="J15" s="33" t="s">
        <v>61</v>
      </c>
    </row>
    <row r="16" spans="1:10">
      <c r="A16" s="39" t="s">
        <v>103</v>
      </c>
      <c r="B16" s="40" t="s">
        <v>104</v>
      </c>
      <c r="C16" s="41" t="s">
        <v>12</v>
      </c>
      <c r="D16" s="53" t="s">
        <v>72</v>
      </c>
      <c r="E16" s="51">
        <v>12500</v>
      </c>
      <c r="F16" s="51">
        <v>37500</v>
      </c>
      <c r="G16" s="51">
        <v>50000</v>
      </c>
      <c r="H16" s="51">
        <v>150000</v>
      </c>
      <c r="I16" s="51">
        <f t="shared" ref="I16" si="1">SUM(E16:H16)</f>
        <v>250000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EE08A6-7B10-495D-9862-E27D831C6DB9}">
          <x14:formula1>
            <xm:f>'Options for KPI UT Levels'!$A$2:$A$47</xm:f>
          </x14:formula1>
          <xm:sqref>H1 C16 C3:C13</xm:sqref>
        </x14:dataValidation>
        <x14:dataValidation type="list" allowBlank="1" showInputMessage="1" showErrorMessage="1" xr:uid="{89866BD2-6BE1-43B0-B283-9D864EE70A91}">
          <x14:formula1>
            <xm:f>'Options for KPI UT Levels'!$B$2:$B$47</xm:f>
          </x14:formula1>
          <xm:sqref>D16 D3:D13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>
      <selection activeCell="B14" sqref="B14"/>
    </sheetView>
  </sheetViews>
  <sheetFormatPr defaultColWidth="10.75" defaultRowHeight="22.15" customHeight="1"/>
  <cols>
    <col min="1" max="1" width="33.5" style="4" bestFit="1" customWidth="1"/>
    <col min="2" max="2" width="47.75" style="2" bestFit="1" customWidth="1"/>
    <col min="3" max="16384" width="10.75" style="2"/>
  </cols>
  <sheetData>
    <row r="1" spans="1:2" ht="22.15" customHeight="1">
      <c r="A1" s="1" t="s">
        <v>4</v>
      </c>
      <c r="B1" s="1" t="s">
        <v>5</v>
      </c>
    </row>
    <row r="2" spans="1:2" ht="22.15" customHeight="1">
      <c r="A2" s="35" t="s">
        <v>105</v>
      </c>
      <c r="B2" s="2" t="s">
        <v>106</v>
      </c>
    </row>
    <row r="3" spans="1:2" ht="22.15" customHeight="1">
      <c r="A3" s="35"/>
      <c r="B3" s="2" t="s">
        <v>107</v>
      </c>
    </row>
    <row r="4" spans="1:2" ht="22.15" customHeight="1">
      <c r="A4" s="35"/>
      <c r="B4" s="2" t="s">
        <v>108</v>
      </c>
    </row>
    <row r="5" spans="1:2" ht="22.15" customHeight="1">
      <c r="A5" s="36"/>
      <c r="B5" s="3" t="s">
        <v>109</v>
      </c>
    </row>
    <row r="6" spans="1:2" ht="22.15" customHeight="1">
      <c r="A6" s="35" t="s">
        <v>64</v>
      </c>
      <c r="B6" s="2" t="s">
        <v>65</v>
      </c>
    </row>
    <row r="7" spans="1:2" ht="22.15" customHeight="1">
      <c r="A7" s="35"/>
      <c r="B7" s="2" t="s">
        <v>110</v>
      </c>
    </row>
    <row r="8" spans="1:2" ht="22.15" customHeight="1">
      <c r="A8" s="36"/>
      <c r="B8" s="3" t="s">
        <v>111</v>
      </c>
    </row>
    <row r="9" spans="1:2" ht="22.15" customHeight="1">
      <c r="A9" s="35" t="s">
        <v>21</v>
      </c>
      <c r="B9" s="2" t="s">
        <v>37</v>
      </c>
    </row>
    <row r="10" spans="1:2" ht="22.15" customHeight="1">
      <c r="A10" s="35"/>
      <c r="B10" s="2" t="s">
        <v>47</v>
      </c>
    </row>
    <row r="11" spans="1:2" ht="22.15" customHeight="1">
      <c r="A11" s="36"/>
      <c r="B11" s="3" t="s">
        <v>22</v>
      </c>
    </row>
    <row r="12" spans="1:2" ht="22.15" customHeight="1">
      <c r="A12" s="35" t="s">
        <v>112</v>
      </c>
      <c r="B12" s="2" t="s">
        <v>113</v>
      </c>
    </row>
    <row r="13" spans="1:2" ht="22.15" customHeight="1">
      <c r="A13" s="35"/>
      <c r="B13" s="2" t="s">
        <v>114</v>
      </c>
    </row>
    <row r="14" spans="1:2" ht="22.15" customHeight="1">
      <c r="A14" s="36"/>
      <c r="B14" s="3" t="s">
        <v>115</v>
      </c>
    </row>
    <row r="15" spans="1:2" ht="22.15" customHeight="1">
      <c r="A15" s="34" t="s">
        <v>116</v>
      </c>
      <c r="B15" s="3" t="s">
        <v>117</v>
      </c>
    </row>
    <row r="16" spans="1:2" ht="22.15" customHeight="1">
      <c r="A16" s="35" t="s">
        <v>118</v>
      </c>
      <c r="B16" s="2" t="s">
        <v>119</v>
      </c>
    </row>
    <row r="17" spans="1:2" ht="22.15" customHeight="1">
      <c r="A17" s="35"/>
      <c r="B17" s="2" t="s">
        <v>120</v>
      </c>
    </row>
    <row r="18" spans="1:2" ht="22.15" customHeight="1">
      <c r="A18" s="35"/>
      <c r="B18" s="2" t="s">
        <v>121</v>
      </c>
    </row>
    <row r="19" spans="1:2" ht="22.15" customHeight="1">
      <c r="A19" s="36"/>
      <c r="B19" s="3" t="s">
        <v>122</v>
      </c>
    </row>
    <row r="20" spans="1:2" ht="22.15" customHeight="1">
      <c r="A20" s="34" t="s">
        <v>123</v>
      </c>
      <c r="B20" s="3" t="s">
        <v>124</v>
      </c>
    </row>
    <row r="21" spans="1:2" ht="22.15" customHeight="1">
      <c r="A21" s="35" t="s">
        <v>12</v>
      </c>
      <c r="B21" s="2" t="s">
        <v>72</v>
      </c>
    </row>
    <row r="22" spans="1:2" ht="22.15" customHeight="1">
      <c r="A22" s="35"/>
      <c r="B22" s="2" t="s">
        <v>16</v>
      </c>
    </row>
    <row r="23" spans="1:2" ht="22.15" customHeight="1">
      <c r="A23" s="36"/>
      <c r="B23" s="3" t="s">
        <v>13</v>
      </c>
    </row>
    <row r="24" spans="1:2" ht="22.15" customHeight="1">
      <c r="A24" s="35" t="s">
        <v>125</v>
      </c>
      <c r="B24" s="2" t="s">
        <v>126</v>
      </c>
    </row>
    <row r="25" spans="1:2" ht="22.15" customHeight="1">
      <c r="A25" s="35"/>
      <c r="B25" s="2" t="s">
        <v>127</v>
      </c>
    </row>
    <row r="26" spans="1:2" ht="22.15" customHeight="1">
      <c r="A26" s="35"/>
      <c r="B26" s="2" t="s">
        <v>128</v>
      </c>
    </row>
    <row r="27" spans="1:2" ht="22.15" customHeight="1">
      <c r="A27" s="35"/>
      <c r="B27" s="2" t="s">
        <v>129</v>
      </c>
    </row>
    <row r="28" spans="1:2" ht="22.15" customHeight="1">
      <c r="A28" s="35"/>
      <c r="B28" s="2" t="s">
        <v>130</v>
      </c>
    </row>
    <row r="29" spans="1:2" ht="22.15" customHeight="1">
      <c r="A29" s="35"/>
      <c r="B29" s="2" t="s">
        <v>131</v>
      </c>
    </row>
    <row r="30" spans="1:2" ht="22.15" customHeight="1">
      <c r="A30" s="35"/>
      <c r="B30" s="2" t="s">
        <v>132</v>
      </c>
    </row>
    <row r="31" spans="1:2" ht="22.15" customHeight="1">
      <c r="A31" s="36"/>
      <c r="B31" s="3" t="s">
        <v>133</v>
      </c>
    </row>
    <row r="32" spans="1:2" ht="22.15" customHeight="1">
      <c r="A32" s="35" t="s">
        <v>134</v>
      </c>
      <c r="B32" s="2" t="s">
        <v>135</v>
      </c>
    </row>
    <row r="33" spans="1:2" ht="22.15" customHeight="1">
      <c r="A33" s="35"/>
      <c r="B33" s="2" t="s">
        <v>136</v>
      </c>
    </row>
    <row r="34" spans="1:2" ht="22.15" customHeight="1">
      <c r="A34" s="35"/>
      <c r="B34" s="2" t="s">
        <v>137</v>
      </c>
    </row>
    <row r="35" spans="1:2" ht="22.15" customHeight="1">
      <c r="A35" s="35"/>
      <c r="B35" s="2" t="s">
        <v>138</v>
      </c>
    </row>
    <row r="36" spans="1:2" ht="22.15" customHeight="1">
      <c r="A36" s="35"/>
      <c r="B36" s="2" t="s">
        <v>139</v>
      </c>
    </row>
    <row r="37" spans="1:2" ht="22.15" customHeight="1">
      <c r="A37" s="35"/>
      <c r="B37" s="2" t="s">
        <v>140</v>
      </c>
    </row>
    <row r="38" spans="1:2" ht="22.15" customHeight="1">
      <c r="A38" s="35"/>
      <c r="B38" s="2" t="s">
        <v>141</v>
      </c>
    </row>
    <row r="39" spans="1:2" ht="22.15" customHeight="1">
      <c r="A39" s="36"/>
      <c r="B39" s="3" t="s">
        <v>142</v>
      </c>
    </row>
    <row r="40" spans="1:2" ht="22.15" customHeight="1">
      <c r="A40" s="34" t="s">
        <v>143</v>
      </c>
      <c r="B40" s="3" t="s">
        <v>144</v>
      </c>
    </row>
    <row r="41" spans="1:2" ht="22.15" customHeight="1">
      <c r="A41" s="35" t="s">
        <v>145</v>
      </c>
      <c r="B41" s="2" t="s">
        <v>146</v>
      </c>
    </row>
    <row r="42" spans="1:2" ht="22.15" customHeight="1">
      <c r="A42" s="36"/>
      <c r="B42" s="3" t="s">
        <v>147</v>
      </c>
    </row>
    <row r="43" spans="1:2" ht="22.15" customHeight="1">
      <c r="A43" s="35" t="s">
        <v>148</v>
      </c>
      <c r="B43" s="2" t="s">
        <v>149</v>
      </c>
    </row>
    <row r="44" spans="1:2" ht="22.15" customHeight="1">
      <c r="A44" s="36"/>
      <c r="B44" s="3" t="s">
        <v>150</v>
      </c>
    </row>
    <row r="45" spans="1:2" ht="22.15" customHeight="1">
      <c r="A45" s="35" t="s">
        <v>151</v>
      </c>
      <c r="B45" s="2" t="s">
        <v>152</v>
      </c>
    </row>
    <row r="46" spans="1:2" ht="22.15" customHeight="1">
      <c r="A46" s="35"/>
      <c r="B46" s="2" t="s">
        <v>153</v>
      </c>
    </row>
    <row r="47" spans="1:2" ht="22.15" customHeight="1">
      <c r="A47" s="36"/>
      <c r="B47" s="3" t="s">
        <v>154</v>
      </c>
    </row>
  </sheetData>
  <mergeCells count="11">
    <mergeCell ref="A24:A31"/>
    <mergeCell ref="A32:A39"/>
    <mergeCell ref="A41:A42"/>
    <mergeCell ref="A43:A44"/>
    <mergeCell ref="A45:A47"/>
    <mergeCell ref="A21:A23"/>
    <mergeCell ref="A2:A5"/>
    <mergeCell ref="A6:A8"/>
    <mergeCell ref="A9:A11"/>
    <mergeCell ref="A12:A14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RowHeight="15.6"/>
  <cols>
    <col min="1" max="1" width="24.875" customWidth="1"/>
  </cols>
  <sheetData>
    <row r="1" spans="1:5">
      <c r="A1" s="8"/>
      <c r="B1" s="37" t="s">
        <v>155</v>
      </c>
      <c r="C1" s="37"/>
      <c r="D1" s="37"/>
      <c r="E1" s="37"/>
    </row>
    <row r="2" spans="1:5">
      <c r="A2" s="9"/>
      <c r="B2" s="10" t="s">
        <v>6</v>
      </c>
      <c r="C2" s="10" t="s">
        <v>156</v>
      </c>
      <c r="D2" s="10" t="s">
        <v>8</v>
      </c>
      <c r="E2" s="10" t="s">
        <v>9</v>
      </c>
    </row>
    <row r="3" spans="1:5">
      <c r="A3" s="11" t="s">
        <v>157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158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159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72985BAC-01DD-4D79-81D2-7D306B72EA06}"/>
</file>

<file path=customXml/itemProps3.xml><?xml version="1.0" encoding="utf-8"?>
<ds:datastoreItem xmlns:ds="http://schemas.openxmlformats.org/officeDocument/2006/customXml" ds:itemID="{56308CB8-6F41-47A1-A7FA-F6896EEA6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Maria Fernanda Velazquez</cp:lastModifiedBy>
  <cp:revision/>
  <dcterms:created xsi:type="dcterms:W3CDTF">2026-02-19T16:21:33Z</dcterms:created>
  <dcterms:modified xsi:type="dcterms:W3CDTF">2026-07-23T01:51:17Z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