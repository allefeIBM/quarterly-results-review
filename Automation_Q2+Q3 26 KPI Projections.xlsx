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C:\Users\ANDIDIONGAKPE\AppData\Local\Box\Box Edit\Documents\rAEELEn2G0GaplTIURIlXQ==\"/>
    </mc:Choice>
  </mc:AlternateContent>
  <xr:revisionPtr revIDLastSave="796" documentId="13_ncr:1_{8E6DBF70-70B9-4016-834C-93A5CCBDA214}" xr6:coauthVersionLast="47" xr6:coauthVersionMax="47" xr10:uidLastSave="{1AF9256C-EFE4-4EB0-8603-D5B3FD489E92}"/>
  <bookViews>
    <workbookView xWindow="-103" yWindow="-103" windowWidth="22149" windowHeight="13200" firstSheet="2" activeTab="2" xr2:uid="{34DAB5B8-0534-154D-B765-6F9AFE0242E3}"/>
  </bookViews>
  <sheets>
    <sheet name="Q2 Projections" sheetId="2" r:id="rId1"/>
    <sheet name="Q3 Projections" sheetId="4" r:id="rId2"/>
    <sheet name="Q4 Projections" sheetId="5" r:id="rId3"/>
    <sheet name="Options for KPI UT Levels" sheetId="1" r:id="rId4"/>
    <sheet name="Sheet1" sheetId="3" r:id="rId5"/>
  </sheets>
  <definedNames>
    <definedName name="_xlnm._FilterDatabase" localSheetId="1" hidden="1">'Q3 Projections'!$A$2:$L$40</definedName>
    <definedName name="_xlnm._FilterDatabase" localSheetId="2" hidden="1">'Q4 Projections'!$A$2:$L$34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4" l="1"/>
  <c r="I3" i="4"/>
  <c r="I43" i="4"/>
  <c r="I10" i="4"/>
  <c r="I21" i="5"/>
  <c r="I13" i="5"/>
  <c r="I10" i="5"/>
  <c r="I12" i="5"/>
  <c r="I19" i="5"/>
  <c r="I29" i="4"/>
  <c r="I29" i="5"/>
  <c r="I30" i="5"/>
  <c r="I31" i="5"/>
  <c r="I32" i="5"/>
  <c r="I15" i="5"/>
  <c r="I16" i="5"/>
  <c r="I17" i="5"/>
  <c r="I18" i="5"/>
  <c r="I4" i="5"/>
  <c r="I5" i="5"/>
  <c r="I6" i="5"/>
  <c r="I7" i="5"/>
  <c r="I8" i="5"/>
  <c r="I9" i="5"/>
  <c r="I11" i="5"/>
  <c r="I14" i="5"/>
  <c r="I20" i="5"/>
  <c r="I22" i="5"/>
  <c r="I23" i="5"/>
  <c r="I24" i="5"/>
  <c r="I25" i="5"/>
  <c r="I26" i="5"/>
  <c r="I27" i="5"/>
  <c r="I28" i="5"/>
  <c r="I33" i="5"/>
  <c r="I3" i="5"/>
  <c r="I4" i="4"/>
  <c r="I5" i="4"/>
  <c r="I11" i="4"/>
  <c r="I12" i="4"/>
  <c r="I13" i="4"/>
  <c r="I14" i="4"/>
  <c r="I15" i="4"/>
  <c r="I16" i="4"/>
  <c r="I17" i="4"/>
  <c r="I19" i="4"/>
  <c r="I20" i="4"/>
  <c r="I21" i="4"/>
  <c r="I22" i="4"/>
  <c r="I23" i="4"/>
  <c r="I24" i="4"/>
  <c r="I25" i="4"/>
  <c r="I26" i="4"/>
  <c r="I27" i="4"/>
  <c r="I30" i="4"/>
  <c r="I31" i="4"/>
  <c r="I32" i="4"/>
  <c r="I33" i="4"/>
  <c r="I34" i="4"/>
  <c r="I35" i="4"/>
  <c r="I36" i="4"/>
  <c r="I37" i="4"/>
  <c r="I39" i="4"/>
  <c r="I40" i="4"/>
  <c r="I41" i="4"/>
  <c r="I42" i="4"/>
  <c r="I6" i="4"/>
  <c r="I7" i="4"/>
  <c r="I8" i="4"/>
  <c r="I9" i="4"/>
  <c r="I28" i="4"/>
  <c r="I38" i="4"/>
  <c r="I18" i="4"/>
  <c r="J4" i="5" l="1"/>
</calcChain>
</file>

<file path=xl/sharedStrings.xml><?xml version="1.0" encoding="utf-8"?>
<sst xmlns="http://schemas.openxmlformats.org/spreadsheetml/2006/main" count="648" uniqueCount="296">
  <si>
    <t>Automation Q2 KPI Projections</t>
  </si>
  <si>
    <t>Event name</t>
  </si>
  <si>
    <t>Brief</t>
  </si>
  <si>
    <t>UT 15</t>
  </si>
  <si>
    <t>UT 17</t>
  </si>
  <si>
    <t>CQ</t>
  </si>
  <si>
    <t>NQ</t>
  </si>
  <si>
    <t>NQ+1</t>
  </si>
  <si>
    <t>NQ+2</t>
  </si>
  <si>
    <t>North American Manufacturing Excellence Summit NAMES 2026</t>
  </si>
  <si>
    <t>FGZR18MB</t>
  </si>
  <si>
    <t>Automation Platform</t>
  </si>
  <si>
    <t>Technology Business Management</t>
  </si>
  <si>
    <t>IBM webMethods Customer Advisory Board H1 2026</t>
  </si>
  <si>
    <t>TYKZGQMB</t>
  </si>
  <si>
    <t>Application Development &amp; Integration</t>
  </si>
  <si>
    <t>Google Cloud Next 2026</t>
  </si>
  <si>
    <t>ZM05QAMB</t>
  </si>
  <si>
    <t>Strategy &amp; Technology</t>
  </si>
  <si>
    <t>Hybrid Cloud &amp; Data</t>
  </si>
  <si>
    <t>IDN / AI Deployment Summit Q2</t>
  </si>
  <si>
    <t>QNYQCRMB</t>
  </si>
  <si>
    <t>APIdays NYC 2026</t>
  </si>
  <si>
    <t>ZJ9XWQMB</t>
  </si>
  <si>
    <t xml:space="preserve">ONUG Spring 2026 (Dallas) </t>
  </si>
  <si>
    <t>9XB8ICMB</t>
  </si>
  <si>
    <t>Infrastructure Automation</t>
  </si>
  <si>
    <t>Americas Hursley Summit 2026</t>
  </si>
  <si>
    <t>6KEPXEMB</t>
  </si>
  <si>
    <t>Gartner Application Innovation and Business Solutions Summit 2026</t>
  </si>
  <si>
    <t>ZGOHF6MB</t>
  </si>
  <si>
    <t>FinOps X 2026 Americas</t>
  </si>
  <si>
    <t>U5X1U9MB</t>
  </si>
  <si>
    <t>IDN Architect the Autonomous Enterprise</t>
  </si>
  <si>
    <t>KVJMJPMB</t>
  </si>
  <si>
    <t>Identiverse 2026</t>
  </si>
  <si>
    <t>YA5EDDMB</t>
  </si>
  <si>
    <t>CxO Institute Chicago</t>
  </si>
  <si>
    <t>CGPXD8MB</t>
  </si>
  <si>
    <t>TechEx</t>
  </si>
  <si>
    <t>D6OLBUMB</t>
  </si>
  <si>
    <t>Strategy &amp; Transformation</t>
  </si>
  <si>
    <t>Data Platform</t>
  </si>
  <si>
    <t>AI Productivity</t>
  </si>
  <si>
    <t>AI/ML Ops</t>
  </si>
  <si>
    <t>Data Fabric</t>
  </si>
  <si>
    <t>Automate 2026</t>
  </si>
  <si>
    <t>PVKD5QMB</t>
  </si>
  <si>
    <t>Future of Integraton Forum 2Q</t>
  </si>
  <si>
    <t>BGRYK1MB</t>
  </si>
  <si>
    <t>Richmond Racetrack Spring 2026</t>
  </si>
  <si>
    <t>LXONA8MB</t>
  </si>
  <si>
    <t>Security Lunch &amp; Learn Spring 2026</t>
  </si>
  <si>
    <t>KYWF92MB</t>
  </si>
  <si>
    <t>FinOps n Futbol Spring 2026</t>
  </si>
  <si>
    <t>T8F86XMB</t>
  </si>
  <si>
    <t>Insurance Tech &amp; Innovation Conference 2026</t>
  </si>
  <si>
    <t>E0XYF8MB</t>
  </si>
  <si>
    <t>Open Source North 2026</t>
  </si>
  <si>
    <t>0KBJLMMB</t>
  </si>
  <si>
    <t>Do Cloud Right (1 Q2)</t>
  </si>
  <si>
    <t>LHVH6CMB</t>
  </si>
  <si>
    <t>Do Cloud Right (2  Q2)</t>
  </si>
  <si>
    <t>X5KIMGMB</t>
  </si>
  <si>
    <t>Do Cloud Right (3  Q2)</t>
  </si>
  <si>
    <t>ZVTIB1MB</t>
  </si>
  <si>
    <t>Go Kart Client Event  Q2 NYC</t>
  </si>
  <si>
    <t>NWDAXDMB</t>
  </si>
  <si>
    <t>Go Kart Client Event  Q2 Boston</t>
  </si>
  <si>
    <t>21TUZCMB</t>
  </si>
  <si>
    <t>SOF Week 2026</t>
  </si>
  <si>
    <t>VYAHJ4MB</t>
  </si>
  <si>
    <t>Gartner C-Level Communities CIO Summit PRESENTING - Dallas - Q2  (Observability)</t>
  </si>
  <si>
    <t>1Q430AMB</t>
  </si>
  <si>
    <t>Gartner C-Level Communities CIO Summit PRESENTING - Minneapolis - Q2 (webMethods)</t>
  </si>
  <si>
    <t>GDMOYUMB</t>
  </si>
  <si>
    <t>Gartner C-Level Communities CIO Summit PRESENTING - Atlanta - Q2 (webMethods)</t>
  </si>
  <si>
    <t>YZ0FJEMB</t>
  </si>
  <si>
    <t>Gartner C-Level Communities CIO Summit PRESENTING - San Francisco - Q2 (webMethods)</t>
  </si>
  <si>
    <t>K0NDV0MB</t>
  </si>
  <si>
    <t>Think Hashicorp Dinner Boston</t>
  </si>
  <si>
    <t>X3DU4IMB</t>
  </si>
  <si>
    <t>HashiCorp: US Southeast Regions Tradition Golf Tournament</t>
  </si>
  <si>
    <t>EGCTOFMB</t>
  </si>
  <si>
    <t>Automation Q3 KPI Projections</t>
  </si>
  <si>
    <t>Blue = not in Workfront dash</t>
  </si>
  <si>
    <t>Total</t>
  </si>
  <si>
    <t>Persona</t>
  </si>
  <si>
    <t>Lead FM</t>
  </si>
  <si>
    <t>Report?</t>
  </si>
  <si>
    <t>Orange = no EMB in Workfront (For Terraform, filled in from projections Section 1 name of event (i don't think this is same as EMB))</t>
  </si>
  <si>
    <t>AWS Blend Community Event</t>
  </si>
  <si>
    <t>V055OXMB</t>
  </si>
  <si>
    <t>3Q'26 Projections - AWS Blend-Hashi event - V055OXMB - DEVOPS.xlsx</t>
  </si>
  <si>
    <t>Blend Community Dinner: Automation 3Q26 - Philadelphia, PA</t>
  </si>
  <si>
    <t>65DLC9MB</t>
  </si>
  <si>
    <t>3Q'26 Projections - Blend Community Dinner - HashiCorp Q3 - DevOps.xlsx</t>
  </si>
  <si>
    <t>Blend Community FinOps Dinner</t>
  </si>
  <si>
    <t>54TX24MB</t>
  </si>
  <si>
    <t xml:space="preserve">Cybersecurity Summit Detroit </t>
  </si>
  <si>
    <t>4L9Q6GMB</t>
  </si>
  <si>
    <t>Pedro</t>
  </si>
  <si>
    <t>3Q'26 Projections - Cybersecurity Summit Detroit - 4L9Q6GMB - IDENTITY - Copy.xlsx</t>
  </si>
  <si>
    <t>Cybersecurity Summit Philadelphia</t>
  </si>
  <si>
    <t>UBU6Y2MB</t>
  </si>
  <si>
    <t>Sekai</t>
  </si>
  <si>
    <t>3Q'26 Projections - Cybersecurity Summit Philadelphia UBU6Y2MB - IDENTITY.xlsx</t>
  </si>
  <si>
    <t>Defense Health IT Summit DHITS - KK046EMB</t>
  </si>
  <si>
    <t>KK046EMB</t>
  </si>
  <si>
    <t>Taylor</t>
  </si>
  <si>
    <t>Del Mar Thoroughbred Club Racing Suite</t>
  </si>
  <si>
    <t>941BVXMB</t>
  </si>
  <si>
    <t>Do Cloud Right (1 Q3)</t>
  </si>
  <si>
    <t>Do Cloud Right (2  Q3)</t>
  </si>
  <si>
    <t>Do Cloud Right (3 Q3)</t>
  </si>
  <si>
    <t>Do Cloud Right (4 Q3) - Fal.con surround</t>
  </si>
  <si>
    <t>D8TZHBMB</t>
  </si>
  <si>
    <t>FinOps n Futbol Fall 2026</t>
  </si>
  <si>
    <t>FINS Roundtable Dinner</t>
  </si>
  <si>
    <t>H2VNK5MB</t>
  </si>
  <si>
    <t>Gartner C-Level Communities CIO Summit Presenting Boston webMethods</t>
  </si>
  <si>
    <t>7E6KGIMB</t>
  </si>
  <si>
    <t>3Q'26 Projections - Gartner C-Level Communities CIO Summit Presenting Boston webMethods - 7E6KGIMB - INTEGRATION.xlsx</t>
  </si>
  <si>
    <t>GBI Impact CIO Dinner - LA</t>
  </si>
  <si>
    <t>5O4J6IMB</t>
  </si>
  <si>
    <t>Gian</t>
  </si>
  <si>
    <t>3Q'26 Projections - GBI Impact CIO Dinner - LA - 5O4J6IMB - INTEGRATION.xlsx</t>
  </si>
  <si>
    <t xml:space="preserve">GBI Impact CISO Dinner - Denver </t>
  </si>
  <si>
    <t>HFOE9ZMB</t>
  </si>
  <si>
    <t>3Q'26 Projections - GBI Impact CISO Dinner - Denver - HFOE9ZMB - IDENTITY.xlsx</t>
  </si>
  <si>
    <t>Grainger Technology Conference (HashiCorp)</t>
  </si>
  <si>
    <t>BGHFDJMB</t>
  </si>
  <si>
    <t>IBM &amp; HashiCorp Flex Progression (2 of 4)</t>
  </si>
  <si>
    <t>NB3THHMB</t>
  </si>
  <si>
    <t>IBM &amp; HashiCorp Flex Progression (3 of 4)</t>
  </si>
  <si>
    <t>CUBFPDMB</t>
  </si>
  <si>
    <t>IBM webMethods Customer Advisory Board H2 2026 - West Coast</t>
  </si>
  <si>
    <t>ZDK7HTMB</t>
  </si>
  <si>
    <t>IDN | A3 Summit: Apps, Agents &amp; APIs (Sept 10)</t>
  </si>
  <si>
    <t>1BO8X2MB</t>
  </si>
  <si>
    <t>IDN | AI Deployment Summit (Jul 30)</t>
  </si>
  <si>
    <t>Z12CMHMB</t>
  </si>
  <si>
    <t>Innovation Studio Sustainability Week</t>
  </si>
  <si>
    <t>OT5KG6MB</t>
  </si>
  <si>
    <t>Integration &amp; Automation Innovation Day 2026</t>
  </si>
  <si>
    <t>FY17YFMB</t>
  </si>
  <si>
    <t>Camila</t>
  </si>
  <si>
    <t>3Q'26 Projections - Integration &amp; Automation Innovation Day 2026 - FY17YFMB - INTEGRATION.xlsx</t>
  </si>
  <si>
    <t>Intelligent asset management in energy - OO9ZQRMB</t>
  </si>
  <si>
    <t>OO9ZQRMB</t>
  </si>
  <si>
    <t>3Q'26 Projections - Intelligent Asset Managment in Energy - OO9ZQRMB - OPS &amp; FACILITIES1</t>
  </si>
  <si>
    <t>MaximoWorld 2026</t>
  </si>
  <si>
    <t>7RXXPFMB</t>
  </si>
  <si>
    <t>MaximoWorld Surround 2026</t>
  </si>
  <si>
    <t>VYJ1KYMB</t>
  </si>
  <si>
    <t>NFL Games (1 of 2)</t>
  </si>
  <si>
    <t>8N4CE5MB</t>
  </si>
  <si>
    <t>NY Identity Authentication &amp; Access Management Summit 2026</t>
  </si>
  <si>
    <t>BN7RZZMB</t>
  </si>
  <si>
    <t>Red Hat Client Dinner Q3</t>
  </si>
  <si>
    <t>DT8LINMB</t>
  </si>
  <si>
    <t xml:space="preserve">Savannah Bananas Suite (Chicago) </t>
  </si>
  <si>
    <t>XUXK6EMB</t>
  </si>
  <si>
    <t>Security Networking Event</t>
  </si>
  <si>
    <t>4UGFYBMB</t>
  </si>
  <si>
    <t>Sinc Futurescale Activation</t>
  </si>
  <si>
    <t>M0LUMUMB</t>
  </si>
  <si>
    <t>3Q'26 Projections - Sinc Futurescale Activation - M0LUMUMB - DEVOPS</t>
  </si>
  <si>
    <t xml:space="preserve">Technology &amp; Innovation Forum Central- Forrester - </t>
  </si>
  <si>
    <t>RGL5I1MB</t>
  </si>
  <si>
    <t>Cameron</t>
  </si>
  <si>
    <t>3Q'26 Projections - Technology &amp; Innovation Forum Central- Forrester - - RGL5I1MB - INTEGRATION.xlsx</t>
  </si>
  <si>
    <t xml:space="preserve">Terraform Workshop </t>
  </si>
  <si>
    <t>4XQV3KMB</t>
  </si>
  <si>
    <t>Hetal</t>
  </si>
  <si>
    <t>3Q'26 Terraform Custom Provider Workshop.xlsx</t>
  </si>
  <si>
    <t>VMware Explore 2026</t>
  </si>
  <si>
    <t>XXMCQ9MB</t>
  </si>
  <si>
    <t>Storage HW</t>
  </si>
  <si>
    <t>Fusion Platform Market</t>
  </si>
  <si>
    <t>3Q'26 Projections - VMware Explore 2026 - DevOps.xlsx</t>
  </si>
  <si>
    <t>Distributed and Mainframe Primary Storage Market</t>
  </si>
  <si>
    <t>Future of Integration</t>
  </si>
  <si>
    <t>Cam</t>
  </si>
  <si>
    <t>3Q'26 Projections - Future of Integration - BGRYK1MB - INTEGRATION</t>
  </si>
  <si>
    <t>AFCEA TechNet Augusta 2026</t>
  </si>
  <si>
    <t>LI3XPTMB</t>
  </si>
  <si>
    <t>Catherine</t>
  </si>
  <si>
    <t>3Q'26 Projections - AFCEA TechNet Augusta 2026 - LI3XPTMB - IDENTITY.xlsx</t>
  </si>
  <si>
    <t>Automation Q4 KPI Projections</t>
  </si>
  <si>
    <t>Report</t>
  </si>
  <si>
    <t>Blend Community Dinner: Automation 4Q26 - Hashicorp - Dallas</t>
  </si>
  <si>
    <t>BQTGHOMB</t>
  </si>
  <si>
    <t>4Q'26 Projections - Blend Community Dinner Automation 4Q26 - Hashicorp - Dallas - BQTGHOMB - IDENTITY.xlsx</t>
  </si>
  <si>
    <t>Cybersecurity Summit Boston</t>
  </si>
  <si>
    <t>0NAY7VMB</t>
  </si>
  <si>
    <t>4Q'26 Projections - Cybersecurity Summit Boston - 0NAY7VMB - IDENTITY</t>
  </si>
  <si>
    <t>Cybersecurity Summit Dallas</t>
  </si>
  <si>
    <t>J4VTX6MB</t>
  </si>
  <si>
    <t>4Q'26 Projections - Cybersecurity Summit Dallas - J4VTX6MB - IDENTITY.xlsx</t>
  </si>
  <si>
    <t>Cybersecurity Summit Jacksonville</t>
  </si>
  <si>
    <t>F66JXKMB</t>
  </si>
  <si>
    <t>Peggy</t>
  </si>
  <si>
    <t>4Q'26 Projections - Cybersecurity Summit Jacksonville - F66JXKMB - IDENTITY.xlsx</t>
  </si>
  <si>
    <t>Gartner C-Level Communities CIO Summit Boardroom - Washington DC webMethods - R8ONULMB</t>
  </si>
  <si>
    <t>R8ONULMB</t>
  </si>
  <si>
    <t>Gartner C-Level Communities CIO Summit PRESENTING - Chicago - Q4  (Observability)</t>
  </si>
  <si>
    <t>2N9W0TMB</t>
  </si>
  <si>
    <t>4Q'26 Projections - Gartner C-Level Communities CIO Summit PRESENTING - Chicago - Q4 (Observability) - 2N9W0TMB - IDENTITY.xlsx</t>
  </si>
  <si>
    <t>Gartner C-Level Communties CIO &amp; CISO Summit Boardroom - Florida (HashiCorp) - KTBDM4MB</t>
  </si>
  <si>
    <t>KTBDM4MB</t>
  </si>
  <si>
    <t>Gartner C-Level Communties CIO Summit Presenting - SoCal webMethods - TFD7XKMB</t>
  </si>
  <si>
    <t>TFD7XKMB</t>
  </si>
  <si>
    <t>Gartner IT Infrastructure and Operations US 2026</t>
  </si>
  <si>
    <t>IJAFKZMB</t>
  </si>
  <si>
    <t>Power HW</t>
  </si>
  <si>
    <t>AIX / IBM i Market</t>
  </si>
  <si>
    <t>4Q'26 Projections - Gartner IT Infrastructure and Operations US 2026 - IJAFKZMB - DEVOPS</t>
  </si>
  <si>
    <t>Z HW</t>
  </si>
  <si>
    <t>IBM Z and LinuxONE Hardware</t>
  </si>
  <si>
    <t>Gartner NYC Boardroom - Hashicorp - 276XK5MB</t>
  </si>
  <si>
    <t>276XK5MB</t>
  </si>
  <si>
    <t>GBI Impact CIO Dinner - Atlanta</t>
  </si>
  <si>
    <t>X875R3MB</t>
  </si>
  <si>
    <t>GBI Impact Dinner - Chicago  - YEZNYIMB</t>
  </si>
  <si>
    <t>YEZNYIMB</t>
  </si>
  <si>
    <t>IDC Dinner - CIO</t>
  </si>
  <si>
    <t>IDN | AI Deployment Summit</t>
  </si>
  <si>
    <t>LVLD6WMB</t>
  </si>
  <si>
    <t>IDN | Re: Imagine the Enterprise Summit</t>
  </si>
  <si>
    <t>WO2IK3MB</t>
  </si>
  <si>
    <t>4Q'26 Projections - IDN ReImagine the Enterprise Summit - WO2IK3MB- INTEGRATION</t>
  </si>
  <si>
    <t>IFMA World Workplace</t>
  </si>
  <si>
    <t>9YGZF9MB</t>
  </si>
  <si>
    <t>4Q'26 Projections - IFMA World Workplace 2026 - 9YGZF9MB - OPS &amp; FACILITIES.xlsx</t>
  </si>
  <si>
    <t>IMC 2026</t>
  </si>
  <si>
    <t>OF2YP7MB</t>
  </si>
  <si>
    <t>4Q'26 Projections - IMC 2026 - OF2YP7MB - OPS &amp; FACILITIES.xlsx</t>
  </si>
  <si>
    <t>KubeCon + CloudNativeCon US 2026</t>
  </si>
  <si>
    <t>3147DEMB</t>
  </si>
  <si>
    <t>4Q'26 Projections - KubeCon + CloudNativeCon US 2026 - 3147DEMB - DEVOPS</t>
  </si>
  <si>
    <t>Observability Day at KubeCon NA 2026</t>
  </si>
  <si>
    <t>MATBQ9MB</t>
  </si>
  <si>
    <t>4Q'26 Projections - Observability Day at KubeCon NA 2026 - MATBQ9MB - DEVOPS</t>
  </si>
  <si>
    <t>Platform Day at KubeCon NA 2026</t>
  </si>
  <si>
    <t>X20E02MB</t>
  </si>
  <si>
    <t>4Q'26 Projections - Platform Day at KubeCon NA 2026 - X20E02MB - DEVOPS</t>
  </si>
  <si>
    <t>Security Threat Management</t>
  </si>
  <si>
    <t>Intelligent Operations</t>
  </si>
  <si>
    <t>Application Operations</t>
  </si>
  <si>
    <t>Business Operations</t>
  </si>
  <si>
    <t>Cybersecurity</t>
  </si>
  <si>
    <t>Cognitive Infrastructure Market</t>
  </si>
  <si>
    <t>Enterprise Linux Market</t>
  </si>
  <si>
    <t>Power TPS</t>
  </si>
  <si>
    <t>Power TPS Market</t>
  </si>
  <si>
    <t>Public Cloud Platform</t>
  </si>
  <si>
    <t>Public Cloud Contracts</t>
  </si>
  <si>
    <t>Public Cloud IaaS</t>
  </si>
  <si>
    <t>Public Cloud PaaS</t>
  </si>
  <si>
    <t>Public Cloud TEL &amp; Support</t>
  </si>
  <si>
    <t>Quantum</t>
  </si>
  <si>
    <t>Quantum Market</t>
  </si>
  <si>
    <t>Business Applications</t>
  </si>
  <si>
    <t>Storage Networking Market</t>
  </si>
  <si>
    <t>Storage Operations / Services Market</t>
  </si>
  <si>
    <t>Storage Tape Market</t>
  </si>
  <si>
    <t>Storage for Data Resiliency Market</t>
  </si>
  <si>
    <t>Storage for Data and AI Market</t>
  </si>
  <si>
    <t>Storage for Hybrid Cloud Market</t>
  </si>
  <si>
    <t>Storage for Primary Block Market</t>
  </si>
  <si>
    <t>Traditional Distributed External Storage Market</t>
  </si>
  <si>
    <t>Storage TPS</t>
  </si>
  <si>
    <t>Storage Networking SW Market</t>
  </si>
  <si>
    <t>Storage Operations / Services SW Market</t>
  </si>
  <si>
    <t>Storage Tape SW Market</t>
  </si>
  <si>
    <t>Storage for Data Resiliency SW Market</t>
  </si>
  <si>
    <t>Storage for Data and AI SW Market</t>
  </si>
  <si>
    <t>Storage for Hybrid Cloud SW Market</t>
  </si>
  <si>
    <t>Storage for Primary Block SW Market</t>
  </si>
  <si>
    <t>Traditional Distributed External Storage SW Market</t>
  </si>
  <si>
    <t>Talent Management Solutions</t>
  </si>
  <si>
    <t>Cognitive Talent Management</t>
  </si>
  <si>
    <t>Technology Lifecycle Services</t>
  </si>
  <si>
    <t>IBM Systems Services</t>
  </si>
  <si>
    <t>Multivendor Services</t>
  </si>
  <si>
    <t>System Software HW</t>
  </si>
  <si>
    <t>Z TPS</t>
  </si>
  <si>
    <t>Z Application Development</t>
  </si>
  <si>
    <t>Z IT Operations Management</t>
  </si>
  <si>
    <t>zTPS Operations / Services Market</t>
  </si>
  <si>
    <t>2025 Landing Qtr Average</t>
  </si>
  <si>
    <t xml:space="preserve">NQ </t>
  </si>
  <si>
    <t>Software</t>
  </si>
  <si>
    <t>Infrastructure</t>
  </si>
  <si>
    <t>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</si>
</sst>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3">
    <font>
      <sz val="12"/>
      <color theme="1"/>
      <name val="Aptos Narrow"/>
      <family val="2"/>
      <scheme val="minor"/>
    </font>
    <font>
      <sz val="12"/>
      <color theme="1"/>
      <name val="IBM Plex Sans"/>
      <family val="2"/>
    </font>
    <font>
      <sz val="14"/>
      <color theme="1"/>
      <name val="IBM Plex Sans"/>
      <family val="2"/>
    </font>
    <font>
      <u/>
      <sz val="14"/>
      <color theme="1"/>
      <name val="IBM Plex Sans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name val="Tahoma"/>
      <family val="2"/>
    </font>
    <font>
      <sz val="10"/>
      <color theme="0"/>
      <name val="Tahoma"/>
      <family val="2"/>
    </font>
    <font>
      <sz val="12"/>
      <name val="Aptos Narrow"/>
      <family val="2"/>
      <scheme val="minor"/>
    </font>
    <font>
      <sz val="10"/>
      <color theme="1"/>
      <name val="Tahoma"/>
      <family val="2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  <font>
      <sz val="11"/>
      <color rgb="FF222222"/>
      <name val="Adobe-Clean"/>
      <charset val="1"/>
    </font>
    <font>
      <sz val="11"/>
      <color rgb="FF242424"/>
      <name val="Aptos Narrow"/>
      <charset val="1"/>
    </font>
    <font>
      <sz val="12"/>
      <color theme="4" tint="0.39997558519241921"/>
      <name val="Aptos Narrow"/>
      <family val="2"/>
      <scheme val="minor"/>
    </font>
    <font>
      <sz val="11"/>
      <color theme="4" tint="0.39997558519241921"/>
      <name val="Aptos Narrow"/>
      <charset val="1"/>
    </font>
    <font>
      <sz val="12"/>
      <color theme="5" tint="-0.249977111117893"/>
      <name val="Aptos Narrow"/>
      <family val="2"/>
      <scheme val="minor"/>
    </font>
    <font>
      <sz val="11"/>
      <color theme="5" tint="-0.249977111117893"/>
      <name val="Aptos Narrow"/>
      <charset val="1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sz val="12"/>
      <color rgb="FF000000"/>
      <name val="Aptos Narrow"/>
    </font>
    <font>
      <sz val="10"/>
      <color rgb="FF000000"/>
      <name val="Tahoma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93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2" xfId="0" applyBorder="1"/>
    <xf numFmtId="0" fontId="5" fillId="3" borderId="2" xfId="0" applyFont="1" applyFill="1" applyBorder="1"/>
    <xf numFmtId="0" fontId="4" fillId="0" borderId="2" xfId="0" applyFont="1" applyBorder="1"/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7" fillId="4" borderId="3" xfId="0" applyFont="1" applyFill="1" applyBorder="1" applyAlignment="1">
      <alignment horizontal="right" vertical="center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6" fontId="0" fillId="0" borderId="2" xfId="0" applyNumberFormat="1" applyBorder="1"/>
    <xf numFmtId="0" fontId="8" fillId="0" borderId="2" xfId="0" applyFont="1" applyBorder="1"/>
    <xf numFmtId="0" fontId="4" fillId="0" borderId="2" xfId="0" applyFont="1" applyFill="1" applyBorder="1"/>
    <xf numFmtId="0" fontId="0" fillId="0" borderId="2" xfId="0" applyFill="1" applyBorder="1"/>
    <xf numFmtId="0" fontId="0" fillId="0" borderId="2" xfId="0" applyFont="1" applyBorder="1"/>
    <xf numFmtId="6" fontId="0" fillId="0" borderId="2" xfId="0" applyNumberFormat="1" applyFont="1" applyBorder="1"/>
    <xf numFmtId="0" fontId="0" fillId="6" borderId="2" xfId="0" applyFont="1" applyFill="1" applyBorder="1"/>
    <xf numFmtId="6" fontId="9" fillId="0" borderId="0" xfId="0" applyNumberFormat="1" applyFont="1" applyAlignment="1">
      <alignment horizontal="right" vertical="center"/>
    </xf>
    <xf numFmtId="0" fontId="8" fillId="6" borderId="2" xfId="0" applyFont="1" applyFill="1" applyBorder="1"/>
    <xf numFmtId="0" fontId="0" fillId="6" borderId="2" xfId="0" applyFill="1" applyBorder="1"/>
    <xf numFmtId="0" fontId="10" fillId="0" borderId="4" xfId="0" applyFont="1" applyFill="1" applyBorder="1" applyAlignment="1"/>
    <xf numFmtId="6" fontId="10" fillId="0" borderId="4" xfId="0" applyNumberFormat="1" applyFont="1" applyFill="1" applyBorder="1" applyAlignment="1"/>
    <xf numFmtId="0" fontId="10" fillId="0" borderId="6" xfId="0" applyFont="1" applyFill="1" applyBorder="1" applyAlignment="1"/>
    <xf numFmtId="6" fontId="10" fillId="0" borderId="6" xfId="0" applyNumberFormat="1" applyFont="1" applyFill="1" applyBorder="1" applyAlignment="1"/>
    <xf numFmtId="0" fontId="10" fillId="6" borderId="2" xfId="0" applyFont="1" applyFill="1" applyBorder="1" applyAlignment="1"/>
    <xf numFmtId="0" fontId="10" fillId="6" borderId="5" xfId="0" applyFont="1" applyFill="1" applyBorder="1" applyAlignment="1"/>
    <xf numFmtId="0" fontId="11" fillId="6" borderId="2" xfId="0" applyFont="1" applyFill="1" applyBorder="1"/>
    <xf numFmtId="0" fontId="0" fillId="3" borderId="0" xfId="0" applyFill="1"/>
    <xf numFmtId="0" fontId="4" fillId="0" borderId="0" xfId="0" applyFont="1"/>
    <xf numFmtId="6" fontId="0" fillId="0" borderId="0" xfId="0" applyNumberFormat="1" applyFill="1"/>
    <xf numFmtId="0" fontId="0" fillId="0" borderId="0" xfId="0" applyFill="1"/>
    <xf numFmtId="0" fontId="12" fillId="0" borderId="7" xfId="0" applyFont="1" applyBorder="1"/>
    <xf numFmtId="6" fontId="0" fillId="0" borderId="0" xfId="0" applyNumberFormat="1"/>
    <xf numFmtId="6" fontId="0" fillId="0" borderId="7" xfId="0" applyNumberFormat="1" applyBorder="1"/>
    <xf numFmtId="0" fontId="14" fillId="0" borderId="0" xfId="0" applyFont="1"/>
    <xf numFmtId="0" fontId="0" fillId="0" borderId="7" xfId="0" applyFill="1" applyBorder="1"/>
    <xf numFmtId="0" fontId="0" fillId="0" borderId="7" xfId="0" applyFont="1" applyFill="1" applyBorder="1"/>
    <xf numFmtId="0" fontId="13" fillId="0" borderId="7" xfId="0" applyFont="1" applyBorder="1"/>
    <xf numFmtId="0" fontId="4" fillId="0" borderId="7" xfId="0" applyFont="1" applyFill="1" applyBorder="1"/>
    <xf numFmtId="0" fontId="4" fillId="0" borderId="7" xfId="0" applyFont="1" applyBorder="1"/>
    <xf numFmtId="0" fontId="5" fillId="3" borderId="8" xfId="0" applyFont="1" applyFill="1" applyBorder="1"/>
    <xf numFmtId="6" fontId="0" fillId="0" borderId="7" xfId="0" applyNumberFormat="1" applyFont="1" applyBorder="1"/>
    <xf numFmtId="0" fontId="0" fillId="0" borderId="7" xfId="0" applyFont="1" applyBorder="1"/>
    <xf numFmtId="6" fontId="11" fillId="0" borderId="7" xfId="0" applyNumberFormat="1" applyFont="1" applyBorder="1"/>
    <xf numFmtId="0" fontId="16" fillId="0" borderId="0" xfId="0" applyFont="1"/>
    <xf numFmtId="0" fontId="0" fillId="6" borderId="7" xfId="0" applyFill="1" applyBorder="1"/>
    <xf numFmtId="0" fontId="0" fillId="6" borderId="7" xfId="0" applyFont="1" applyFill="1" applyBorder="1"/>
    <xf numFmtId="0" fontId="15" fillId="6" borderId="7" xfId="0" applyFont="1" applyFill="1" applyBorder="1"/>
    <xf numFmtId="0" fontId="0" fillId="0" borderId="7" xfId="0" applyBorder="1"/>
    <xf numFmtId="0" fontId="0" fillId="0" borderId="0" xfId="0" applyFill="1" applyBorder="1"/>
    <xf numFmtId="0" fontId="0" fillId="0" borderId="0" xfId="0" applyFont="1" applyFill="1" applyBorder="1"/>
    <xf numFmtId="0" fontId="17" fillId="0" borderId="0" xfId="0" applyFont="1" applyBorder="1"/>
    <xf numFmtId="6" fontId="0" fillId="0" borderId="0" xfId="0" applyNumberFormat="1" applyFont="1" applyBorder="1"/>
    <xf numFmtId="6" fontId="0" fillId="0" borderId="0" xfId="0" applyNumberFormat="1" applyFill="1" applyBorder="1"/>
    <xf numFmtId="0" fontId="0" fillId="0" borderId="0" xfId="0" applyBorder="1"/>
    <xf numFmtId="6" fontId="11" fillId="0" borderId="7" xfId="0" applyNumberFormat="1" applyFont="1" applyFill="1" applyBorder="1"/>
    <xf numFmtId="0" fontId="0" fillId="6" borderId="0" xfId="0" applyFill="1" applyBorder="1"/>
    <xf numFmtId="0" fontId="14" fillId="6" borderId="7" xfId="0" applyFont="1" applyFill="1" applyBorder="1"/>
    <xf numFmtId="0" fontId="18" fillId="0" borderId="0" xfId="0" applyFont="1" applyFill="1" applyBorder="1"/>
    <xf numFmtId="0" fontId="0" fillId="0" borderId="7" xfId="0" quotePrefix="1" applyFont="1" applyFill="1" applyBorder="1"/>
    <xf numFmtId="0" fontId="19" fillId="0" borderId="0" xfId="1"/>
    <xf numFmtId="6" fontId="20" fillId="0" borderId="0" xfId="0" applyNumberFormat="1" applyFont="1" applyBorder="1" applyAlignment="1"/>
    <xf numFmtId="164" fontId="0" fillId="0" borderId="0" xfId="0" applyNumberFormat="1"/>
    <xf numFmtId="0" fontId="20" fillId="0" borderId="0" xfId="0" applyFont="1" applyBorder="1" applyAlignment="1"/>
    <xf numFmtId="165" fontId="0" fillId="0" borderId="0" xfId="0" applyNumberFormat="1"/>
    <xf numFmtId="0" fontId="21" fillId="7" borderId="2" xfId="0" applyFont="1" applyFill="1" applyBorder="1"/>
    <xf numFmtId="0" fontId="0" fillId="8" borderId="0" xfId="0" applyFill="1"/>
    <xf numFmtId="6" fontId="22" fillId="0" borderId="0" xfId="0" applyNumberFormat="1" applyFont="1"/>
    <xf numFmtId="0" fontId="0" fillId="6" borderId="0" xfId="0" applyFont="1" applyFill="1" applyBorder="1"/>
    <xf numFmtId="0" fontId="21" fillId="8" borderId="7" xfId="0" applyFont="1" applyFill="1" applyBorder="1"/>
    <xf numFmtId="0" fontId="0" fillId="0" borderId="0" xfId="0" applyFont="1" applyFill="1" applyBorder="1" applyAlignment="1">
      <alignment vertical="top" wrapText="1"/>
    </xf>
    <xf numFmtId="0" fontId="21" fillId="0" borderId="7" xfId="0" applyFont="1" applyBorder="1"/>
    <xf numFmtId="0" fontId="8" fillId="6" borderId="0" xfId="0" applyFont="1" applyFill="1" applyBorder="1"/>
    <xf numFmtId="0" fontId="12" fillId="0" borderId="0" xfId="0" applyFont="1" applyBorder="1"/>
    <xf numFmtId="0" fontId="18" fillId="0" borderId="0" xfId="0" applyFont="1" applyFill="1" applyBorder="1" applyAlignment="1">
      <alignment vertical="top"/>
    </xf>
    <xf numFmtId="0" fontId="22" fillId="0" borderId="7" xfId="0" applyFont="1" applyBorder="1"/>
    <xf numFmtId="0" fontId="18" fillId="0" borderId="7" xfId="0" applyFont="1" applyFill="1" applyBorder="1"/>
    <xf numFmtId="6" fontId="20" fillId="0" borderId="7" xfId="0" applyNumberFormat="1" applyFont="1" applyBorder="1" applyAlignment="1"/>
    <xf numFmtId="6" fontId="11" fillId="0" borderId="0" xfId="0" applyNumberFormat="1" applyFont="1" applyFill="1" applyBorder="1"/>
    <xf numFmtId="6" fontId="22" fillId="0" borderId="7" xfId="0" applyNumberFormat="1" applyFont="1" applyBorder="1"/>
    <xf numFmtId="6" fontId="11" fillId="0" borderId="0" xfId="0" applyNumberFormat="1" applyFont="1" applyBorder="1"/>
    <xf numFmtId="6" fontId="0" fillId="0" borderId="0" xfId="0" applyNumberFormat="1" applyBorder="1"/>
    <xf numFmtId="6" fontId="20" fillId="0" borderId="2" xfId="0" applyNumberFormat="1" applyFont="1" applyBorder="1" applyAlignment="1"/>
    <xf numFmtId="0" fontId="2" fillId="0" borderId="1" xfId="0" applyFont="1" applyBorder="1" applyAlignment="1">
      <alignment horizontal="left" vertical="center"/>
    </xf>
    <xf numFmtId="0" fontId="8" fillId="0" borderId="7" xfId="0" applyFont="1" applyFill="1" applyBorder="1"/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bm-my.sharepoint.com/:x:/p/abwyllie_us/IQAxZsPQADpGTbxW4MFLbubwAX6YuXDmXDe8rIQl7ZN4c-c?e=2LI1Zn" TargetMode="External"/><Relationship Id="rId13" Type="http://schemas.openxmlformats.org/officeDocument/2006/relationships/hyperlink" Target="https://ibm-my.sharepoint.com/:x:/p/abwyllie_us/IQByDIA6aKxqT5dmDmmY4U_AAT3lZV0784PFWj694sDu93Q?e=oLrJwA" TargetMode="External"/><Relationship Id="rId18" Type="http://schemas.openxmlformats.org/officeDocument/2006/relationships/hyperlink" Target="https://ibm-my.sharepoint.com/:x:/p/abwyllie_us/IQAuo39CyZugQYTlSeahIylEAc3dyrIEwtRGrs9Pjk7Wlcs?e=6fKv4t" TargetMode="External"/><Relationship Id="rId3" Type="http://schemas.openxmlformats.org/officeDocument/2006/relationships/hyperlink" Target="https://ibm-my.sharepoint.com/:x:/p/abwyllie_us/IQDUt-oTP99UQaPWJuPBLhPDAa1VHknrjWGDP_mK6LjG9Kc?e=qk0BKm" TargetMode="External"/><Relationship Id="rId7" Type="http://schemas.openxmlformats.org/officeDocument/2006/relationships/hyperlink" Target="https://ibm-my.sharepoint.com/:x:/p/abwyllie_us/IQAxZsPQADpGTbxW4MFLbubwAX6YuXDmXDe8rIQl7ZN4c-c?e=2LI1Zn" TargetMode="External"/><Relationship Id="rId12" Type="http://schemas.openxmlformats.org/officeDocument/2006/relationships/hyperlink" Target="https://ibm-my.sharepoint.com/:x:/p/abwyllie_us/IQD3HAONfYMNSqvcCa_bvjQwAWgEtkRL9LdohxHQdkZlTrc?e=GHevfJ" TargetMode="External"/><Relationship Id="rId17" Type="http://schemas.openxmlformats.org/officeDocument/2006/relationships/hyperlink" Target="https://ibm-my.sharepoint.com/:x:/p/abwyllie_us/IQDjv3vqB7_lT6a74-6p4EUEAeGbXiEAzW1f85IqK0dkvz4?e=9gdt2Z" TargetMode="External"/><Relationship Id="rId2" Type="http://schemas.openxmlformats.org/officeDocument/2006/relationships/hyperlink" Target="https://ibm-my.sharepoint.com/:x:/p/abwyllie_us/IQDUt-oTP99UQaPWJuPBLhPDAa1VHknrjWGDP_mK6LjG9Kc?e=qk0BKm" TargetMode="External"/><Relationship Id="rId16" Type="http://schemas.openxmlformats.org/officeDocument/2006/relationships/hyperlink" Target="https://ibm-my.sharepoint.com/:x:/p/abwyllie_us/IQD0IOMB2OXtR6pylklLyo7tAQORycSLyEMWxG9JVwDojgE?e=5RjlT1" TargetMode="External"/><Relationship Id="rId1" Type="http://schemas.openxmlformats.org/officeDocument/2006/relationships/hyperlink" Target="https://ibm-my.sharepoint.com/:x:/p/abwyllie_us/IQDUt-oTP99UQaPWJuPBLhPDAa1VHknrjWGDP_mK6LjG9Kc?e=qk0BKm" TargetMode="External"/><Relationship Id="rId6" Type="http://schemas.openxmlformats.org/officeDocument/2006/relationships/hyperlink" Target="https://ibm-my.sharepoint.com/:x:/p/abwyllie_us/IQCrmwnuaIz5Sqpyy4YjZMLfAbYNfuHACuZQCcFxD3W1Efk?e=qFgJS8" TargetMode="External"/><Relationship Id="rId11" Type="http://schemas.openxmlformats.org/officeDocument/2006/relationships/hyperlink" Target="https://ibm-my.sharepoint.com/:x:/p/abwyllie_us/IQBlsXTLnXS-QLrKoxS_QSSVAaPYIo-RuynD7GLgR0A9zU4?e=x6svKL" TargetMode="External"/><Relationship Id="rId5" Type="http://schemas.openxmlformats.org/officeDocument/2006/relationships/hyperlink" Target="https://ibm-my.sharepoint.com/:x:/p/abwyllie_us/IQCrmwnuaIz5Sqpyy4YjZMLfAbYNfuHACuZQCcFxD3W1Efk?e=qFgJS8" TargetMode="External"/><Relationship Id="rId15" Type="http://schemas.openxmlformats.org/officeDocument/2006/relationships/hyperlink" Target="https://ibm-my.sharepoint.com/:x:/p/abwyllie_us/IQDglQgnOTSQRLfwtJgAAoFtAYiIBmG0CQXaAdnsiF8h9Ds?e=nnuO4R" TargetMode="External"/><Relationship Id="rId10" Type="http://schemas.openxmlformats.org/officeDocument/2006/relationships/hyperlink" Target="https://ibm-my.sharepoint.com/:x:/p/abwyllie_us/IQAP8RX4RWVtSKDbiNbg2FysAeOMVEkAwpnzZYIL1mtYDEM?e=rhngnX" TargetMode="External"/><Relationship Id="rId19" Type="http://schemas.openxmlformats.org/officeDocument/2006/relationships/hyperlink" Target="https://ibm-my.sharepoint.com/:x:/p/abwyllie_us/IQAyGc05fTLWTL5nra1Xry8kAUMu5wjARyXleLRF349RhBE?e=lLId8Y" TargetMode="External"/><Relationship Id="rId4" Type="http://schemas.openxmlformats.org/officeDocument/2006/relationships/hyperlink" Target="https://ibm-my.sharepoint.com/:x:/p/abwyllie_us/IQDRYXp6i6aySJYKjbnrcEbVAQnIl4zpCkYpNxKnmZOBn6E?e=uxjNFn" TargetMode="External"/><Relationship Id="rId9" Type="http://schemas.openxmlformats.org/officeDocument/2006/relationships/hyperlink" Target="https://ibm-my.sharepoint.com/:x:/p/abwyllie_us/IQDpJwbUfQBVT4mkLVazciuWARjsaoWvJWyyGEFAJOLt1Vw?e=bQB4ep" TargetMode="External"/><Relationship Id="rId14" Type="http://schemas.openxmlformats.org/officeDocument/2006/relationships/hyperlink" Target="https://ibm-my.sharepoint.com/:x:/p/abwyllie_us/IQBry0UhWW6NTYQSzZVpNsSaAcalSompHb5qaw2djaUhqhE?e=YALBf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bm-my.sharepoint.com/:x:/p/abwyllie_us/IQBIoM0Ru5IhTpNY4Z5nnNtMAc44SU80vJXWqQ1WoZ-AaLA?e=bNhg0v" TargetMode="External"/><Relationship Id="rId13" Type="http://schemas.openxmlformats.org/officeDocument/2006/relationships/hyperlink" Target="https://ibm-my.sharepoint.com/:x:/p/abwyllie_us/IQDeM2ENTkWQR6w7wT4ylqz3AfF1X7oq3PKAK7LtsPXNeE8?e=W8ATAz" TargetMode="External"/><Relationship Id="rId3" Type="http://schemas.openxmlformats.org/officeDocument/2006/relationships/hyperlink" Target="https://ibm-my.sharepoint.com/:x:/p/abwyllie_us/IQDZ0HS3jti5RpKrxDQiOoqhAZdW427kBeovDEWwNpMawsA?e=yfuNnW" TargetMode="External"/><Relationship Id="rId7" Type="http://schemas.openxmlformats.org/officeDocument/2006/relationships/hyperlink" Target="https://ibm-my.sharepoint.com/:x:/p/abwyllie_us/IQBS6GKPeLLtRKsUhB2_72RwARmLsb6h0Ohxxn2hLIQQsk8?e=7fiIYw" TargetMode="External"/><Relationship Id="rId12" Type="http://schemas.openxmlformats.org/officeDocument/2006/relationships/hyperlink" Target="https://ibm-my.sharepoint.com/:x:/p/abwyllie_us/IQDeM2ENTkWQR6w7wT4ylqz3AfF1X7oq3PKAK7LtsPXNeE8?e=W8ATAz" TargetMode="External"/><Relationship Id="rId17" Type="http://schemas.openxmlformats.org/officeDocument/2006/relationships/hyperlink" Target="https://ibm-my.sharepoint.com/:x:/p/abwyllie_us/IQCfK5zSJJIfR6W831awCQX-ASAN3rYDUqV7SurbxejbZSU?e=XpKuB5" TargetMode="External"/><Relationship Id="rId2" Type="http://schemas.openxmlformats.org/officeDocument/2006/relationships/hyperlink" Target="https://ibm-my.sharepoint.com/:x:/p/abwyllie_us/IQCcd2I_YfEQSJjuzSFWJHIeAYxm_gFopC0HGhJeigDYdzY?e=3RLDDT" TargetMode="External"/><Relationship Id="rId16" Type="http://schemas.openxmlformats.org/officeDocument/2006/relationships/hyperlink" Target="https://ibm-my.sharepoint.com/:x:/p/abwyllie_us/IQCqxWoogVwhQrMx_8pAwJUWAUSER5tEh6HiGmEp9sg1nQM?e=Oxu5Q6" TargetMode="External"/><Relationship Id="rId1" Type="http://schemas.openxmlformats.org/officeDocument/2006/relationships/hyperlink" Target="https://ibm-my.sharepoint.com/:x:/p/abwyllie_us/IQCcd2I_YfEQSJjuzSFWJHIeAYxm_gFopC0HGhJeigDYdzY?e=3RLDDT" TargetMode="External"/><Relationship Id="rId6" Type="http://schemas.openxmlformats.org/officeDocument/2006/relationships/hyperlink" Target="https://ibm-my.sharepoint.com/:x:/p/abwyllie_us/IQDhLqsIygAeQaDAkKp-6tq2AVi-ZfHcKtHLOVIxYzrOPwk?e=x1VH5C" TargetMode="External"/><Relationship Id="rId11" Type="http://schemas.openxmlformats.org/officeDocument/2006/relationships/hyperlink" Target="https://ibm-my.sharepoint.com/:x:/p/abwyllie_us/IQA2hNJgN5haSoWSTro1ABZuAdpahdMPwua32pkdano5aaY?e=iYKnId" TargetMode="External"/><Relationship Id="rId5" Type="http://schemas.openxmlformats.org/officeDocument/2006/relationships/hyperlink" Target="https://ibm-my.sharepoint.com/:x:/p/abwyllie_us/IQDhLqsIygAeQaDAkKp-6tq2AVi-ZfHcKtHLOVIxYzrOPwk?e=x1VH5C" TargetMode="External"/><Relationship Id="rId15" Type="http://schemas.openxmlformats.org/officeDocument/2006/relationships/hyperlink" Target="https://ibm-my.sharepoint.com/:x:/p/abwyllie_us/IQC1VMKvMEHRT7T8s8JzuwNyATqEkEoRz3wedut6E4nMoc4?e=FG1kUU" TargetMode="External"/><Relationship Id="rId10" Type="http://schemas.openxmlformats.org/officeDocument/2006/relationships/hyperlink" Target="https://ibm-my.sharepoint.com/:x:/p/abwyllie_us/IQDbkZgfsAZdRIyT0H84kgJKAd6c5pycURH8SXgUGGkDrXY?e=KhX3Lf" TargetMode="External"/><Relationship Id="rId4" Type="http://schemas.openxmlformats.org/officeDocument/2006/relationships/hyperlink" Target="https://ibm-my.sharepoint.com/:x:/p/abwyllie_us/IQDZ0HS3jti5RpKrxDQiOoqhAZdW427kBeovDEWwNpMawsA?e=yfuNnW" TargetMode="External"/><Relationship Id="rId9" Type="http://schemas.openxmlformats.org/officeDocument/2006/relationships/hyperlink" Target="https://ibm-my.sharepoint.com/:x:/p/abwyllie_us/IQBhar0BYyz-QrTWPTNfn7WhAeuSOSRR0Mv5KD5CCadRZRA?e=vZn5zp" TargetMode="External"/><Relationship Id="rId14" Type="http://schemas.openxmlformats.org/officeDocument/2006/relationships/hyperlink" Target="https://ibm-my.sharepoint.com/:x:/p/abwyllie_us/IQC1VMKvMEHRT7T8s8JzuwNyATqEkEoRz3wedut6E4nMoc4?e=FG1kU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9637-199A-4342-94B6-656FD616A422}">
  <sheetPr>
    <tabColor rgb="FFFFC000"/>
  </sheetPr>
  <dimension ref="A1:H45"/>
  <sheetViews>
    <sheetView zoomScale="77" workbookViewId="0">
      <pane xSplit="1" ySplit="2" topLeftCell="B3" activePane="bottomRight" state="frozen"/>
      <selection pane="bottomRight" activeCell="D38" sqref="D38"/>
      <selection pane="bottomLeft" activeCell="A3" sqref="A3"/>
      <selection pane="topRight" activeCell="B1" sqref="B1"/>
    </sheetView>
  </sheetViews>
  <sheetFormatPr defaultColWidth="8.875" defaultRowHeight="15.95"/>
  <cols>
    <col min="1" max="1" width="76.875" style="5" bestFit="1" customWidth="1"/>
    <col min="2" max="2" width="19.375" style="5" customWidth="1"/>
    <col min="3" max="3" width="24.5" style="5" customWidth="1"/>
    <col min="4" max="4" width="33.125" style="5" bestFit="1" customWidth="1"/>
    <col min="5" max="8" width="18.125" style="5" customWidth="1"/>
    <col min="9" max="16384" width="8.875" style="5"/>
  </cols>
  <sheetData>
    <row r="1" spans="1:8" s="6" customFormat="1" ht="20.65">
      <c r="A1" s="6" t="s">
        <v>0</v>
      </c>
    </row>
    <row r="2" spans="1:8" s="7" customFormat="1">
      <c r="A2" s="15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>
      <c r="A3" s="22" t="s">
        <v>9</v>
      </c>
      <c r="B3" s="5" t="s">
        <v>10</v>
      </c>
      <c r="C3" s="5" t="s">
        <v>11</v>
      </c>
      <c r="D3" s="5" t="s">
        <v>12</v>
      </c>
      <c r="E3" s="13">
        <v>17458</v>
      </c>
      <c r="F3" s="13">
        <v>23619</v>
      </c>
      <c r="G3" s="13">
        <v>25673</v>
      </c>
      <c r="H3" s="13">
        <v>35942</v>
      </c>
    </row>
    <row r="4" spans="1:8">
      <c r="A4" s="22" t="s">
        <v>13</v>
      </c>
      <c r="B4" s="5" t="s">
        <v>14</v>
      </c>
      <c r="C4" s="5" t="s">
        <v>11</v>
      </c>
      <c r="D4" s="5" t="s">
        <v>15</v>
      </c>
      <c r="E4" s="13">
        <v>46610</v>
      </c>
      <c r="F4" s="13">
        <v>63060</v>
      </c>
      <c r="G4" s="13">
        <v>68544</v>
      </c>
      <c r="H4" s="13">
        <v>95961</v>
      </c>
    </row>
    <row r="5" spans="1:8">
      <c r="A5" s="22" t="s">
        <v>16</v>
      </c>
      <c r="B5" s="5" t="s">
        <v>17</v>
      </c>
      <c r="C5" s="5" t="s">
        <v>11</v>
      </c>
      <c r="D5" s="5" t="s">
        <v>15</v>
      </c>
      <c r="E5" s="13">
        <v>146595</v>
      </c>
      <c r="F5" s="13">
        <v>198335</v>
      </c>
      <c r="G5" s="13">
        <v>215581</v>
      </c>
      <c r="H5" s="13">
        <v>301814</v>
      </c>
    </row>
    <row r="6" spans="1:8">
      <c r="A6" s="22" t="s">
        <v>16</v>
      </c>
      <c r="B6" s="5" t="s">
        <v>17</v>
      </c>
      <c r="C6" s="5" t="s">
        <v>18</v>
      </c>
      <c r="D6" s="5" t="s">
        <v>19</v>
      </c>
      <c r="E6" s="13">
        <v>28744</v>
      </c>
      <c r="F6" s="13">
        <v>86233</v>
      </c>
      <c r="G6" s="13">
        <v>114977</v>
      </c>
      <c r="H6" s="13">
        <v>344930</v>
      </c>
    </row>
    <row r="7" spans="1:8">
      <c r="A7" s="22" t="s">
        <v>20</v>
      </c>
      <c r="B7" s="5" t="s">
        <v>21</v>
      </c>
      <c r="C7" s="5" t="s">
        <v>11</v>
      </c>
      <c r="D7" s="5" t="s">
        <v>15</v>
      </c>
      <c r="E7" s="13">
        <v>1570085</v>
      </c>
      <c r="F7" s="13">
        <v>2124233</v>
      </c>
      <c r="G7" s="13">
        <v>2308949</v>
      </c>
      <c r="H7" s="13">
        <v>3232528</v>
      </c>
    </row>
    <row r="8" spans="1:8">
      <c r="A8" s="22" t="s">
        <v>22</v>
      </c>
      <c r="B8" s="5" t="s">
        <v>23</v>
      </c>
      <c r="C8" s="5" t="s">
        <v>11</v>
      </c>
      <c r="D8" s="5" t="s">
        <v>15</v>
      </c>
      <c r="E8" s="13">
        <v>805460</v>
      </c>
      <c r="F8" s="13">
        <v>1089739</v>
      </c>
      <c r="G8" s="13">
        <v>1184499</v>
      </c>
      <c r="H8" s="13">
        <v>1658299</v>
      </c>
    </row>
    <row r="9" spans="1:8">
      <c r="A9" s="22" t="s">
        <v>24</v>
      </c>
      <c r="B9" s="5" t="s">
        <v>25</v>
      </c>
      <c r="C9" s="5" t="s">
        <v>11</v>
      </c>
      <c r="D9" s="5" t="s">
        <v>26</v>
      </c>
      <c r="E9" s="13">
        <v>124255</v>
      </c>
      <c r="F9" s="13">
        <v>168110</v>
      </c>
      <c r="G9" s="13">
        <v>182728</v>
      </c>
      <c r="H9" s="13">
        <v>255819</v>
      </c>
    </row>
    <row r="10" spans="1:8">
      <c r="A10" s="22" t="s">
        <v>27</v>
      </c>
      <c r="B10" s="5" t="s">
        <v>28</v>
      </c>
      <c r="C10" s="5" t="s">
        <v>11</v>
      </c>
      <c r="D10" s="5" t="s">
        <v>15</v>
      </c>
      <c r="E10" s="13">
        <v>308992</v>
      </c>
      <c r="F10" s="13">
        <v>418047</v>
      </c>
      <c r="G10" s="13">
        <v>454399</v>
      </c>
      <c r="H10" s="13">
        <v>636159</v>
      </c>
    </row>
    <row r="11" spans="1:8">
      <c r="A11" s="22" t="s">
        <v>27</v>
      </c>
      <c r="B11" s="5" t="s">
        <v>28</v>
      </c>
      <c r="C11" s="5" t="s">
        <v>11</v>
      </c>
      <c r="D11" s="5" t="s">
        <v>12</v>
      </c>
      <c r="E11" s="13">
        <v>16263</v>
      </c>
      <c r="F11" s="13">
        <v>22002</v>
      </c>
      <c r="G11" s="13">
        <v>23916</v>
      </c>
      <c r="H11" s="13">
        <v>33482</v>
      </c>
    </row>
    <row r="12" spans="1:8">
      <c r="A12" s="22" t="s">
        <v>29</v>
      </c>
      <c r="B12" s="5" t="s">
        <v>30</v>
      </c>
      <c r="C12" s="5" t="s">
        <v>11</v>
      </c>
      <c r="D12" s="5" t="s">
        <v>15</v>
      </c>
      <c r="E12" s="13">
        <v>513926</v>
      </c>
      <c r="F12" s="13">
        <v>695312</v>
      </c>
      <c r="G12" s="13">
        <v>755774</v>
      </c>
      <c r="H12" s="13">
        <v>1058083</v>
      </c>
    </row>
    <row r="13" spans="1:8">
      <c r="A13" s="22" t="s">
        <v>31</v>
      </c>
      <c r="B13" s="5" t="s">
        <v>32</v>
      </c>
      <c r="C13" s="5" t="s">
        <v>11</v>
      </c>
      <c r="D13" s="5" t="s">
        <v>12</v>
      </c>
      <c r="E13" s="13">
        <v>171637</v>
      </c>
      <c r="F13" s="13">
        <v>232215</v>
      </c>
      <c r="G13" s="13">
        <v>252408</v>
      </c>
      <c r="H13" s="13">
        <v>353371</v>
      </c>
    </row>
    <row r="14" spans="1:8">
      <c r="A14" s="22" t="s">
        <v>33</v>
      </c>
      <c r="B14" s="5" t="s">
        <v>34</v>
      </c>
      <c r="C14" s="5" t="s">
        <v>11</v>
      </c>
      <c r="D14" s="5" t="s">
        <v>15</v>
      </c>
      <c r="E14" s="13">
        <v>1402332</v>
      </c>
      <c r="F14" s="13">
        <v>1897272</v>
      </c>
      <c r="G14" s="13">
        <v>2062252</v>
      </c>
      <c r="H14" s="13">
        <v>2887153</v>
      </c>
    </row>
    <row r="15" spans="1:8">
      <c r="A15" s="22" t="s">
        <v>35</v>
      </c>
      <c r="B15" s="5" t="s">
        <v>36</v>
      </c>
      <c r="C15" s="5" t="s">
        <v>11</v>
      </c>
      <c r="D15" s="5" t="s">
        <v>26</v>
      </c>
      <c r="E15" s="13">
        <v>204000</v>
      </c>
      <c r="F15" s="13">
        <v>276000</v>
      </c>
      <c r="G15" s="13">
        <v>300000</v>
      </c>
      <c r="H15" s="13">
        <v>420000</v>
      </c>
    </row>
    <row r="16" spans="1:8">
      <c r="A16" s="22" t="s">
        <v>37</v>
      </c>
      <c r="B16" s="5" t="s">
        <v>38</v>
      </c>
      <c r="C16" s="5" t="s">
        <v>11</v>
      </c>
      <c r="D16" s="5" t="s">
        <v>12</v>
      </c>
      <c r="E16" s="13">
        <v>202333</v>
      </c>
      <c r="F16" s="13">
        <v>273744</v>
      </c>
      <c r="G16" s="13">
        <v>297548</v>
      </c>
      <c r="H16" s="13">
        <v>416567</v>
      </c>
    </row>
    <row r="17" spans="1:8">
      <c r="A17" s="22" t="s">
        <v>39</v>
      </c>
      <c r="B17" s="5" t="s">
        <v>40</v>
      </c>
      <c r="C17" s="5" t="s">
        <v>18</v>
      </c>
      <c r="D17" s="5" t="s">
        <v>41</v>
      </c>
      <c r="E17" s="13">
        <v>5504</v>
      </c>
      <c r="F17" s="13">
        <v>16511</v>
      </c>
      <c r="G17" s="13">
        <v>22015</v>
      </c>
      <c r="H17" s="13">
        <v>66044</v>
      </c>
    </row>
    <row r="18" spans="1:8">
      <c r="A18" s="22" t="s">
        <v>39</v>
      </c>
      <c r="B18" s="5" t="s">
        <v>40</v>
      </c>
      <c r="C18" s="5" t="s">
        <v>11</v>
      </c>
      <c r="D18" s="5" t="s">
        <v>15</v>
      </c>
      <c r="E18" s="13">
        <v>106037</v>
      </c>
      <c r="F18" s="13">
        <v>143462</v>
      </c>
      <c r="G18" s="13">
        <v>155936</v>
      </c>
      <c r="H18" s="13">
        <v>218311</v>
      </c>
    </row>
    <row r="19" spans="1:8">
      <c r="A19" s="22" t="s">
        <v>39</v>
      </c>
      <c r="B19" s="5" t="s">
        <v>40</v>
      </c>
      <c r="C19" s="5" t="s">
        <v>11</v>
      </c>
      <c r="D19" s="5" t="s">
        <v>26</v>
      </c>
      <c r="E19" s="13">
        <v>174649</v>
      </c>
      <c r="F19" s="13">
        <v>236290</v>
      </c>
      <c r="G19" s="13">
        <v>256837</v>
      </c>
      <c r="H19" s="13">
        <v>359571</v>
      </c>
    </row>
    <row r="20" spans="1:8">
      <c r="A20" s="22" t="s">
        <v>39</v>
      </c>
      <c r="B20" s="5" t="s">
        <v>40</v>
      </c>
      <c r="C20" s="5" t="s">
        <v>11</v>
      </c>
      <c r="D20" s="5" t="s">
        <v>12</v>
      </c>
      <c r="E20" s="13">
        <v>93562</v>
      </c>
      <c r="F20" s="13">
        <v>126584</v>
      </c>
      <c r="G20" s="13">
        <v>137591</v>
      </c>
      <c r="H20" s="13">
        <v>192627</v>
      </c>
    </row>
    <row r="21" spans="1:8">
      <c r="A21" s="22" t="s">
        <v>39</v>
      </c>
      <c r="B21" s="5" t="s">
        <v>40</v>
      </c>
      <c r="C21" s="5" t="s">
        <v>42</v>
      </c>
      <c r="D21" s="5" t="s">
        <v>43</v>
      </c>
      <c r="E21" s="13">
        <v>12475</v>
      </c>
      <c r="F21" s="13">
        <v>16878</v>
      </c>
      <c r="G21" s="13">
        <v>18345</v>
      </c>
      <c r="H21" s="13">
        <v>25684</v>
      </c>
    </row>
    <row r="22" spans="1:8">
      <c r="A22" s="22" t="s">
        <v>39</v>
      </c>
      <c r="B22" s="5" t="s">
        <v>40</v>
      </c>
      <c r="C22" s="5" t="s">
        <v>42</v>
      </c>
      <c r="D22" s="5" t="s">
        <v>44</v>
      </c>
      <c r="E22" s="13">
        <v>6237</v>
      </c>
      <c r="F22" s="13">
        <v>8439</v>
      </c>
      <c r="G22" s="13">
        <v>9173</v>
      </c>
      <c r="H22" s="13">
        <v>12842</v>
      </c>
    </row>
    <row r="23" spans="1:8">
      <c r="A23" s="22" t="s">
        <v>39</v>
      </c>
      <c r="B23" s="5" t="s">
        <v>40</v>
      </c>
      <c r="C23" s="5" t="s">
        <v>42</v>
      </c>
      <c r="D23" s="5" t="s">
        <v>45</v>
      </c>
      <c r="E23" s="13">
        <v>212074</v>
      </c>
      <c r="F23" s="13">
        <v>286923</v>
      </c>
      <c r="G23" s="13">
        <v>311873</v>
      </c>
      <c r="H23" s="13">
        <v>436622</v>
      </c>
    </row>
    <row r="24" spans="1:8" ht="15.75">
      <c r="A24" s="29" t="s">
        <v>46</v>
      </c>
      <c r="B24" s="5" t="s">
        <v>47</v>
      </c>
      <c r="C24" s="5" t="s">
        <v>11</v>
      </c>
      <c r="D24" s="5" t="s">
        <v>12</v>
      </c>
      <c r="E24" s="13">
        <v>249262</v>
      </c>
      <c r="F24" s="13">
        <v>337237</v>
      </c>
      <c r="G24" s="13">
        <v>366562</v>
      </c>
      <c r="H24" s="13">
        <v>513187</v>
      </c>
    </row>
    <row r="25" spans="1:8">
      <c r="A25" s="22" t="s">
        <v>48</v>
      </c>
      <c r="B25" t="s">
        <v>49</v>
      </c>
      <c r="C25" s="5" t="s">
        <v>11</v>
      </c>
      <c r="D25" s="5" t="s">
        <v>15</v>
      </c>
      <c r="E25" s="13">
        <v>5946</v>
      </c>
      <c r="F25" s="13">
        <v>8045</v>
      </c>
      <c r="G25" s="13">
        <v>8745</v>
      </c>
      <c r="H25" s="13">
        <v>12243</v>
      </c>
    </row>
    <row r="26" spans="1:8">
      <c r="A26" s="22" t="s">
        <v>50</v>
      </c>
      <c r="B26" s="5" t="s">
        <v>51</v>
      </c>
      <c r="C26" s="5" t="s">
        <v>11</v>
      </c>
      <c r="D26" s="5" t="s">
        <v>26</v>
      </c>
      <c r="E26" s="13">
        <v>25500</v>
      </c>
      <c r="F26" s="13">
        <v>34500</v>
      </c>
      <c r="G26" s="13">
        <v>37500</v>
      </c>
      <c r="H26" s="13">
        <v>52500</v>
      </c>
    </row>
    <row r="27" spans="1:8">
      <c r="A27" s="22" t="s">
        <v>52</v>
      </c>
      <c r="B27" s="5" t="s">
        <v>53</v>
      </c>
      <c r="C27" s="5" t="s">
        <v>11</v>
      </c>
      <c r="D27" s="5" t="s">
        <v>26</v>
      </c>
      <c r="E27" s="13">
        <v>35486</v>
      </c>
      <c r="F27" s="13">
        <v>48011</v>
      </c>
      <c r="G27" s="13">
        <v>52185</v>
      </c>
      <c r="H27" s="13">
        <v>73060</v>
      </c>
    </row>
    <row r="28" spans="1:8">
      <c r="A28" s="22" t="s">
        <v>54</v>
      </c>
      <c r="B28" s="5" t="s">
        <v>55</v>
      </c>
      <c r="C28" s="5" t="s">
        <v>11</v>
      </c>
      <c r="D28" s="5" t="s">
        <v>12</v>
      </c>
      <c r="E28" s="13">
        <v>122119</v>
      </c>
      <c r="F28" s="13">
        <v>165220</v>
      </c>
      <c r="G28" s="13">
        <v>179587</v>
      </c>
      <c r="H28" s="13">
        <v>251422</v>
      </c>
    </row>
    <row r="29" spans="1:8">
      <c r="A29" s="22" t="s">
        <v>56</v>
      </c>
      <c r="B29" s="5" t="s">
        <v>57</v>
      </c>
      <c r="C29" s="5" t="s">
        <v>11</v>
      </c>
      <c r="D29" s="5" t="s">
        <v>12</v>
      </c>
      <c r="E29" s="13">
        <v>212500.00000000003</v>
      </c>
      <c r="F29" s="13">
        <v>287500</v>
      </c>
      <c r="G29" s="13">
        <v>312500</v>
      </c>
      <c r="H29" s="13">
        <v>437500</v>
      </c>
    </row>
    <row r="30" spans="1:8">
      <c r="A30" s="22" t="s">
        <v>58</v>
      </c>
      <c r="B30" s="5" t="s">
        <v>59</v>
      </c>
      <c r="C30" s="5" t="s">
        <v>11</v>
      </c>
      <c r="D30" s="5" t="s">
        <v>12</v>
      </c>
      <c r="E30" s="13">
        <v>18578</v>
      </c>
      <c r="F30" s="13">
        <v>25135</v>
      </c>
      <c r="G30" s="13">
        <v>27320</v>
      </c>
      <c r="H30" s="13">
        <v>38248</v>
      </c>
    </row>
    <row r="31" spans="1:8" s="17" customFormat="1" ht="15.75">
      <c r="A31" s="19" t="s">
        <v>60</v>
      </c>
      <c r="B31" s="17" t="s">
        <v>61</v>
      </c>
      <c r="C31" s="17" t="s">
        <v>11</v>
      </c>
      <c r="D31" s="17" t="s">
        <v>26</v>
      </c>
      <c r="E31" s="18">
        <v>156788</v>
      </c>
      <c r="F31" s="18">
        <v>212124</v>
      </c>
      <c r="G31" s="18">
        <v>230570</v>
      </c>
      <c r="H31" s="18">
        <v>322798</v>
      </c>
    </row>
    <row r="32" spans="1:8" s="17" customFormat="1" ht="15.75">
      <c r="A32" s="19" t="s">
        <v>62</v>
      </c>
      <c r="B32" s="17" t="s">
        <v>63</v>
      </c>
      <c r="C32" s="17" t="s">
        <v>11</v>
      </c>
      <c r="D32" s="17" t="s">
        <v>26</v>
      </c>
      <c r="E32" s="18">
        <v>156788</v>
      </c>
      <c r="F32" s="18">
        <v>212124</v>
      </c>
      <c r="G32" s="18">
        <v>230570</v>
      </c>
      <c r="H32" s="18">
        <v>322798</v>
      </c>
    </row>
    <row r="33" spans="1:8" s="17" customFormat="1" ht="15.75">
      <c r="A33" s="19" t="s">
        <v>64</v>
      </c>
      <c r="B33" s="17" t="s">
        <v>65</v>
      </c>
      <c r="C33" s="17" t="s">
        <v>11</v>
      </c>
      <c r="D33" s="17" t="s">
        <v>26</v>
      </c>
      <c r="E33" s="18">
        <v>156788</v>
      </c>
      <c r="F33" s="18">
        <v>212124</v>
      </c>
      <c r="G33" s="18">
        <v>230570</v>
      </c>
      <c r="H33" s="18">
        <v>322798</v>
      </c>
    </row>
    <row r="34" spans="1:8" s="17" customFormat="1" ht="15.75">
      <c r="A34" s="19" t="s">
        <v>66</v>
      </c>
      <c r="B34" s="17" t="s">
        <v>67</v>
      </c>
      <c r="C34" s="17" t="s">
        <v>11</v>
      </c>
      <c r="D34" s="17" t="s">
        <v>26</v>
      </c>
      <c r="E34" s="20">
        <v>115852</v>
      </c>
      <c r="F34" s="20">
        <v>156741</v>
      </c>
      <c r="G34" s="20">
        <v>170370</v>
      </c>
      <c r="H34" s="20">
        <v>238519</v>
      </c>
    </row>
    <row r="35" spans="1:8" s="17" customFormat="1" ht="15.75">
      <c r="A35" s="19" t="s">
        <v>68</v>
      </c>
      <c r="B35" s="17" t="s">
        <v>69</v>
      </c>
      <c r="C35" s="17" t="s">
        <v>11</v>
      </c>
      <c r="D35" s="17" t="s">
        <v>26</v>
      </c>
      <c r="E35" s="20">
        <v>115852</v>
      </c>
      <c r="F35" s="20">
        <v>156741</v>
      </c>
      <c r="G35" s="20">
        <v>170370</v>
      </c>
      <c r="H35" s="20">
        <v>238519</v>
      </c>
    </row>
    <row r="36" spans="1:8" s="17" customFormat="1" ht="15.75">
      <c r="A36" s="19" t="s">
        <v>70</v>
      </c>
      <c r="B36" s="17" t="s">
        <v>71</v>
      </c>
      <c r="C36" s="17" t="s">
        <v>11</v>
      </c>
      <c r="D36" s="17" t="s">
        <v>26</v>
      </c>
      <c r="E36" s="20">
        <v>42367</v>
      </c>
      <c r="F36" s="20">
        <v>57320</v>
      </c>
      <c r="G36" s="20">
        <v>62304</v>
      </c>
      <c r="H36" s="20">
        <v>87226</v>
      </c>
    </row>
    <row r="37" spans="1:8">
      <c r="A37" s="21" t="s">
        <v>72</v>
      </c>
      <c r="B37" s="14" t="s">
        <v>73</v>
      </c>
      <c r="C37" s="5" t="s">
        <v>11</v>
      </c>
      <c r="D37" s="5" t="s">
        <v>15</v>
      </c>
      <c r="E37" s="13">
        <v>26932</v>
      </c>
      <c r="F37" s="13">
        <v>36438</v>
      </c>
      <c r="G37" s="13">
        <v>39607</v>
      </c>
      <c r="H37" s="13">
        <v>55449</v>
      </c>
    </row>
    <row r="38" spans="1:8">
      <c r="A38" s="21" t="s">
        <v>74</v>
      </c>
      <c r="B38" s="14" t="s">
        <v>75</v>
      </c>
      <c r="C38" s="5" t="s">
        <v>11</v>
      </c>
      <c r="D38" s="5" t="s">
        <v>15</v>
      </c>
      <c r="E38" s="13">
        <v>64096</v>
      </c>
      <c r="F38" s="13">
        <v>86718</v>
      </c>
      <c r="G38" s="13">
        <v>94258</v>
      </c>
      <c r="H38" s="13">
        <v>131962</v>
      </c>
    </row>
    <row r="39" spans="1:8">
      <c r="A39" s="21" t="s">
        <v>76</v>
      </c>
      <c r="B39" s="14" t="s">
        <v>77</v>
      </c>
      <c r="C39" s="5" t="s">
        <v>11</v>
      </c>
      <c r="D39" s="5" t="s">
        <v>15</v>
      </c>
      <c r="E39" s="13">
        <v>17143</v>
      </c>
      <c r="F39" s="13">
        <v>23194</v>
      </c>
      <c r="G39" s="13">
        <v>25211</v>
      </c>
      <c r="H39" s="13">
        <v>35295</v>
      </c>
    </row>
    <row r="40" spans="1:8">
      <c r="A40" s="21" t="s">
        <v>78</v>
      </c>
      <c r="B40" s="14" t="s">
        <v>79</v>
      </c>
      <c r="C40" s="5" t="s">
        <v>11</v>
      </c>
      <c r="D40" s="5" t="s">
        <v>15</v>
      </c>
      <c r="E40" s="13">
        <v>3100</v>
      </c>
      <c r="F40" s="13">
        <v>4194</v>
      </c>
      <c r="G40" s="13">
        <v>4559</v>
      </c>
      <c r="H40" s="13">
        <v>6382</v>
      </c>
    </row>
    <row r="41" spans="1:8" ht="15.75">
      <c r="A41" s="27" t="s">
        <v>80</v>
      </c>
      <c r="B41" s="23" t="s">
        <v>81</v>
      </c>
      <c r="C41" s="23" t="s">
        <v>11</v>
      </c>
      <c r="D41" s="23" t="s">
        <v>26</v>
      </c>
      <c r="E41" s="24">
        <v>248762</v>
      </c>
      <c r="F41" s="24">
        <v>336560</v>
      </c>
      <c r="G41" s="24">
        <v>365827</v>
      </c>
      <c r="H41" s="24">
        <v>512157</v>
      </c>
    </row>
    <row r="42" spans="1:8" ht="15.75">
      <c r="A42" s="28" t="s">
        <v>80</v>
      </c>
      <c r="B42" s="25" t="s">
        <v>81</v>
      </c>
      <c r="C42" s="25" t="s">
        <v>11</v>
      </c>
      <c r="D42" s="25" t="s">
        <v>12</v>
      </c>
      <c r="E42" s="26">
        <v>165841</v>
      </c>
      <c r="F42" s="26">
        <v>224374</v>
      </c>
      <c r="G42" s="26">
        <v>243884</v>
      </c>
      <c r="H42" s="26">
        <v>341438</v>
      </c>
    </row>
    <row r="43" spans="1:8" ht="15.75">
      <c r="A43" s="28" t="s">
        <v>82</v>
      </c>
      <c r="B43" s="25" t="s">
        <v>83</v>
      </c>
      <c r="C43" s="25" t="s">
        <v>11</v>
      </c>
      <c r="D43" s="25" t="s">
        <v>26</v>
      </c>
      <c r="E43" s="26">
        <v>26657</v>
      </c>
      <c r="F43" s="26">
        <v>36066</v>
      </c>
      <c r="G43" s="26">
        <v>39202</v>
      </c>
      <c r="H43" s="26">
        <v>54883</v>
      </c>
    </row>
    <row r="44" spans="1:8">
      <c r="A44" s="16"/>
    </row>
    <row r="45" spans="1:8">
      <c r="A45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9A1574-27FC-424E-9445-8C8D701658D2}">
          <x14:formula1>
            <xm:f>'Options for KPI UT Levels'!$A$2:$A$47</xm:f>
          </x14:formula1>
          <xm:sqref>H1 C3:C40 C44:C476</xm:sqref>
        </x14:dataValidation>
        <x14:dataValidation type="list" allowBlank="1" showInputMessage="1" showErrorMessage="1" xr:uid="{DBC7447C-57D1-41AF-B182-99CB007A7812}">
          <x14:formula1>
            <xm:f>'Options for KPI UT Levels'!$B$2:$B$47</xm:f>
          </x14:formula1>
          <xm:sqref>D3:D40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2B7-DEB0-4CB6-8E7F-B72EBB754C1F}">
  <sheetPr>
    <tabColor rgb="FF92D050"/>
  </sheetPr>
  <dimension ref="A1:P44"/>
  <sheetViews>
    <sheetView workbookViewId="0">
      <pane xSplit="1" ySplit="2" topLeftCell="J26" activePane="bottomRight" state="frozen"/>
      <selection pane="bottomRight" activeCell="L44" sqref="L44"/>
      <selection pane="bottomLeft"/>
      <selection pane="topRight"/>
    </sheetView>
  </sheetViews>
  <sheetFormatPr defaultRowHeight="15.75" outlineLevelCol="1"/>
  <cols>
    <col min="1" max="1" width="56" customWidth="1"/>
    <col min="2" max="2" width="12.75" customWidth="1"/>
    <col min="3" max="3" width="20.375" customWidth="1"/>
    <col min="4" max="4" width="42" bestFit="1" customWidth="1"/>
    <col min="5" max="8" width="16.75" customWidth="1" outlineLevel="1"/>
    <col min="9" max="9" width="17.125" customWidth="1"/>
    <col min="10" max="10" width="9.5" bestFit="1" customWidth="1"/>
    <col min="11" max="11" width="9.5" customWidth="1"/>
    <col min="12" max="12" width="104.375" bestFit="1" customWidth="1"/>
  </cols>
  <sheetData>
    <row r="1" spans="1:16" ht="21">
      <c r="A1" s="43" t="s">
        <v>84</v>
      </c>
      <c r="B1" s="88"/>
      <c r="C1" s="89"/>
      <c r="D1" s="89"/>
      <c r="E1" s="89"/>
      <c r="F1" s="89"/>
      <c r="G1" s="89"/>
      <c r="H1" s="89"/>
      <c r="I1" s="30"/>
      <c r="P1" s="37" t="s">
        <v>85</v>
      </c>
    </row>
    <row r="2" spans="1:16">
      <c r="A2" s="41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2" t="s">
        <v>8</v>
      </c>
      <c r="I2" s="31" t="s">
        <v>86</v>
      </c>
      <c r="J2" t="s">
        <v>87</v>
      </c>
      <c r="K2" t="s">
        <v>88</v>
      </c>
      <c r="L2" t="s">
        <v>89</v>
      </c>
      <c r="P2" s="47" t="s">
        <v>90</v>
      </c>
    </row>
    <row r="3" spans="1:16" s="33" customFormat="1">
      <c r="A3" s="87" t="s">
        <v>91</v>
      </c>
      <c r="B3" s="34" t="s">
        <v>92</v>
      </c>
      <c r="C3" s="39" t="s">
        <v>11</v>
      </c>
      <c r="D3" s="39" t="s">
        <v>26</v>
      </c>
      <c r="E3" s="44">
        <v>46166</v>
      </c>
      <c r="F3" s="44">
        <v>62459</v>
      </c>
      <c r="G3" s="44">
        <v>67891</v>
      </c>
      <c r="H3" s="44">
        <v>95047</v>
      </c>
      <c r="I3" s="32">
        <f>SUM(E3:H3)</f>
        <v>271563</v>
      </c>
      <c r="L3" s="63" t="s">
        <v>93</v>
      </c>
    </row>
    <row r="4" spans="1:16" s="33" customFormat="1">
      <c r="A4" s="49" t="s">
        <v>94</v>
      </c>
      <c r="B4" s="39" t="s">
        <v>95</v>
      </c>
      <c r="C4" s="39" t="s">
        <v>11</v>
      </c>
      <c r="D4" s="39" t="s">
        <v>26</v>
      </c>
      <c r="E4" s="44">
        <v>46166</v>
      </c>
      <c r="F4" s="44">
        <v>62459</v>
      </c>
      <c r="G4" s="44">
        <v>67891</v>
      </c>
      <c r="H4" s="44">
        <v>95047</v>
      </c>
      <c r="I4" s="32">
        <f>SUM(E4:H4)</f>
        <v>271563</v>
      </c>
      <c r="L4" s="63" t="s">
        <v>96</v>
      </c>
    </row>
    <row r="5" spans="1:16" s="33" customFormat="1">
      <c r="A5" s="50" t="s">
        <v>97</v>
      </c>
      <c r="B5" s="40" t="s">
        <v>98</v>
      </c>
      <c r="C5" s="39" t="s">
        <v>11</v>
      </c>
      <c r="D5" s="45" t="s">
        <v>26</v>
      </c>
      <c r="E5" s="36">
        <v>155477</v>
      </c>
      <c r="F5" s="36">
        <v>210352</v>
      </c>
      <c r="G5" s="36">
        <v>228643</v>
      </c>
      <c r="H5" s="36">
        <v>320101</v>
      </c>
      <c r="I5" s="35">
        <f>SUM(E5:H5)</f>
        <v>914573</v>
      </c>
    </row>
    <row r="6" spans="1:16" s="33" customFormat="1">
      <c r="A6" s="48" t="s">
        <v>99</v>
      </c>
      <c r="B6" s="51" t="s">
        <v>100</v>
      </c>
      <c r="C6" s="51" t="s">
        <v>11</v>
      </c>
      <c r="D6" s="51" t="s">
        <v>26</v>
      </c>
      <c r="E6" s="80">
        <v>243699</v>
      </c>
      <c r="F6" s="80">
        <v>329711</v>
      </c>
      <c r="G6" s="80">
        <v>358381</v>
      </c>
      <c r="H6" s="80">
        <v>501733</v>
      </c>
      <c r="I6" s="35">
        <f>SUM(E6:H6)</f>
        <v>1433524</v>
      </c>
      <c r="J6"/>
      <c r="K6" t="s">
        <v>101</v>
      </c>
      <c r="L6" s="63" t="s">
        <v>102</v>
      </c>
    </row>
    <row r="7" spans="1:16" s="33" customFormat="1">
      <c r="A7" s="48" t="s">
        <v>99</v>
      </c>
      <c r="B7" s="51" t="s">
        <v>100</v>
      </c>
      <c r="C7" s="51" t="s">
        <v>42</v>
      </c>
      <c r="D7" s="51" t="s">
        <v>45</v>
      </c>
      <c r="E7" s="80">
        <v>104442</v>
      </c>
      <c r="F7" s="80">
        <v>141305</v>
      </c>
      <c r="G7" s="80">
        <v>153592</v>
      </c>
      <c r="H7" s="80">
        <v>215029</v>
      </c>
      <c r="I7" s="35">
        <f>SUM(E7:H7)</f>
        <v>614368</v>
      </c>
      <c r="J7"/>
      <c r="K7" t="s">
        <v>101</v>
      </c>
      <c r="L7" s="63" t="s">
        <v>102</v>
      </c>
    </row>
    <row r="8" spans="1:16" s="33" customFormat="1">
      <c r="A8" s="48" t="s">
        <v>103</v>
      </c>
      <c r="B8" s="51" t="s">
        <v>104</v>
      </c>
      <c r="C8" s="51" t="s">
        <v>11</v>
      </c>
      <c r="D8" s="51" t="s">
        <v>26</v>
      </c>
      <c r="E8" s="80">
        <v>243699</v>
      </c>
      <c r="F8" s="80">
        <v>329711</v>
      </c>
      <c r="G8" s="80">
        <v>358381</v>
      </c>
      <c r="H8" s="80">
        <v>501733</v>
      </c>
      <c r="I8" s="35">
        <f>SUM(E8:H8)</f>
        <v>1433524</v>
      </c>
      <c r="J8"/>
      <c r="K8" t="s">
        <v>105</v>
      </c>
      <c r="L8" s="63" t="s">
        <v>106</v>
      </c>
    </row>
    <row r="9" spans="1:16" s="33" customFormat="1">
      <c r="A9" s="48" t="s">
        <v>103</v>
      </c>
      <c r="B9" s="51" t="s">
        <v>104</v>
      </c>
      <c r="C9" s="51" t="s">
        <v>42</v>
      </c>
      <c r="D9" s="51" t="s">
        <v>45</v>
      </c>
      <c r="E9" s="80">
        <v>104442</v>
      </c>
      <c r="F9" s="80">
        <v>141305</v>
      </c>
      <c r="G9" s="80">
        <v>153592</v>
      </c>
      <c r="H9" s="80">
        <v>215029</v>
      </c>
      <c r="I9" s="35">
        <f>SUM(E9:H9)</f>
        <v>614368</v>
      </c>
      <c r="J9"/>
      <c r="K9" t="s">
        <v>105</v>
      </c>
      <c r="L9" s="63" t="s">
        <v>106</v>
      </c>
    </row>
    <row r="10" spans="1:16" s="33" customFormat="1">
      <c r="A10" s="74" t="s">
        <v>107</v>
      </c>
      <c r="B10" s="51" t="s">
        <v>108</v>
      </c>
      <c r="C10" s="78" t="s">
        <v>11</v>
      </c>
      <c r="D10" s="78" t="s">
        <v>15</v>
      </c>
      <c r="E10" s="82">
        <v>40857</v>
      </c>
      <c r="F10" s="82">
        <v>55277</v>
      </c>
      <c r="G10" s="82">
        <v>60083</v>
      </c>
      <c r="H10" s="82">
        <v>84116</v>
      </c>
      <c r="I10" s="35">
        <f>SUM(E10:H10)</f>
        <v>240333</v>
      </c>
      <c r="J10"/>
      <c r="K10" t="s">
        <v>109</v>
      </c>
      <c r="L10"/>
    </row>
    <row r="11" spans="1:16" s="33" customFormat="1">
      <c r="A11" s="49" t="s">
        <v>110</v>
      </c>
      <c r="B11" s="39" t="s">
        <v>111</v>
      </c>
      <c r="C11" s="39" t="s">
        <v>11</v>
      </c>
      <c r="D11" s="39" t="s">
        <v>26</v>
      </c>
      <c r="E11" s="58">
        <v>43625</v>
      </c>
      <c r="F11" s="58">
        <v>59022</v>
      </c>
      <c r="G11" s="58">
        <v>64155</v>
      </c>
      <c r="H11" s="58">
        <v>89817</v>
      </c>
      <c r="I11" s="35">
        <f>SUM(E11:H11)</f>
        <v>256619</v>
      </c>
    </row>
    <row r="12" spans="1:16" s="33" customFormat="1" ht="20.25" customHeight="1">
      <c r="A12" s="48" t="s">
        <v>112</v>
      </c>
      <c r="B12" s="38" t="s">
        <v>61</v>
      </c>
      <c r="C12" s="38" t="s">
        <v>11</v>
      </c>
      <c r="D12" s="38" t="s">
        <v>26</v>
      </c>
      <c r="E12" s="36">
        <v>31284</v>
      </c>
      <c r="F12" s="36">
        <v>42326</v>
      </c>
      <c r="G12" s="36">
        <v>46006</v>
      </c>
      <c r="H12" s="36">
        <v>64409</v>
      </c>
      <c r="I12" s="32">
        <f>SUM(E12:H12)</f>
        <v>184025</v>
      </c>
    </row>
    <row r="13" spans="1:16" s="33" customFormat="1" ht="20.25" customHeight="1">
      <c r="A13" s="48" t="s">
        <v>113</v>
      </c>
      <c r="B13" s="38" t="s">
        <v>63</v>
      </c>
      <c r="C13" s="38" t="s">
        <v>11</v>
      </c>
      <c r="D13" s="39" t="s">
        <v>26</v>
      </c>
      <c r="E13" s="36">
        <v>12526</v>
      </c>
      <c r="F13" s="36">
        <v>16947</v>
      </c>
      <c r="G13" s="36">
        <v>18421</v>
      </c>
      <c r="H13" s="36">
        <v>25789</v>
      </c>
      <c r="I13" s="32">
        <f>SUM(E13:H13)</f>
        <v>73683</v>
      </c>
    </row>
    <row r="14" spans="1:16" s="33" customFormat="1">
      <c r="A14" s="48" t="s">
        <v>114</v>
      </c>
      <c r="B14" s="38" t="s">
        <v>65</v>
      </c>
      <c r="C14" s="38" t="s">
        <v>11</v>
      </c>
      <c r="D14" s="39" t="s">
        <v>26</v>
      </c>
      <c r="E14" s="36">
        <v>36729</v>
      </c>
      <c r="F14" s="36">
        <v>49692</v>
      </c>
      <c r="G14" s="36">
        <v>54013</v>
      </c>
      <c r="H14" s="36">
        <v>75618</v>
      </c>
      <c r="I14" s="35">
        <f>SUM(E14:H14)</f>
        <v>216052</v>
      </c>
    </row>
    <row r="15" spans="1:16" s="33" customFormat="1">
      <c r="A15" s="49" t="s">
        <v>115</v>
      </c>
      <c r="B15" s="62" t="s">
        <v>116</v>
      </c>
      <c r="C15" s="38" t="s">
        <v>11</v>
      </c>
      <c r="D15" s="39" t="s">
        <v>26</v>
      </c>
      <c r="E15" s="36">
        <v>31284</v>
      </c>
      <c r="F15" s="36">
        <v>42326</v>
      </c>
      <c r="G15" s="36">
        <v>46006</v>
      </c>
      <c r="H15" s="36">
        <v>64409</v>
      </c>
      <c r="I15" s="32">
        <f>SUM(E15:H15)</f>
        <v>184025</v>
      </c>
    </row>
    <row r="16" spans="1:16" s="33" customFormat="1">
      <c r="A16" s="49" t="s">
        <v>117</v>
      </c>
      <c r="B16" s="39" t="s">
        <v>55</v>
      </c>
      <c r="C16" s="39" t="s">
        <v>11</v>
      </c>
      <c r="D16" s="39" t="s">
        <v>12</v>
      </c>
      <c r="E16" s="46">
        <v>415253</v>
      </c>
      <c r="F16" s="46">
        <v>561813</v>
      </c>
      <c r="G16" s="46">
        <v>610666</v>
      </c>
      <c r="H16" s="46">
        <v>854932</v>
      </c>
      <c r="I16" s="35">
        <f>SUM(E16:H16)</f>
        <v>2442664</v>
      </c>
    </row>
    <row r="17" spans="1:12" s="33" customFormat="1">
      <c r="A17" s="48" t="s">
        <v>118</v>
      </c>
      <c r="B17" s="38" t="s">
        <v>119</v>
      </c>
      <c r="C17" s="38" t="s">
        <v>11</v>
      </c>
      <c r="D17" s="38" t="s">
        <v>26</v>
      </c>
      <c r="E17" s="36">
        <v>24999</v>
      </c>
      <c r="F17" s="36">
        <v>33822</v>
      </c>
      <c r="G17" s="36">
        <v>36763</v>
      </c>
      <c r="H17" s="36">
        <v>51469</v>
      </c>
      <c r="I17" s="32">
        <f>SUM(E17:H17)</f>
        <v>147053</v>
      </c>
    </row>
    <row r="18" spans="1:12" s="33" customFormat="1">
      <c r="A18" s="48" t="s">
        <v>120</v>
      </c>
      <c r="B18" s="51" t="s">
        <v>121</v>
      </c>
      <c r="C18" s="39" t="s">
        <v>11</v>
      </c>
      <c r="D18" s="39" t="s">
        <v>15</v>
      </c>
      <c r="E18" s="36">
        <v>290176</v>
      </c>
      <c r="F18" s="36">
        <v>392591</v>
      </c>
      <c r="G18" s="36">
        <v>426730</v>
      </c>
      <c r="H18" s="36">
        <v>597422</v>
      </c>
      <c r="I18" s="35">
        <f>SUM(E18:H18)</f>
        <v>1706919</v>
      </c>
      <c r="J18"/>
      <c r="K18" t="s">
        <v>109</v>
      </c>
      <c r="L18" s="63" t="s">
        <v>122</v>
      </c>
    </row>
    <row r="19" spans="1:12" s="33" customFormat="1">
      <c r="A19" s="48" t="s">
        <v>123</v>
      </c>
      <c r="B19" s="38" t="s">
        <v>124</v>
      </c>
      <c r="C19" s="39" t="s">
        <v>11</v>
      </c>
      <c r="D19" s="51" t="s">
        <v>15</v>
      </c>
      <c r="E19" s="36">
        <v>93443</v>
      </c>
      <c r="F19" s="36">
        <v>126423</v>
      </c>
      <c r="G19" s="36">
        <v>137416</v>
      </c>
      <c r="H19" s="36">
        <v>192383</v>
      </c>
      <c r="I19" s="32">
        <f>SUM(E19:H19)</f>
        <v>549665</v>
      </c>
      <c r="K19" s="33" t="s">
        <v>125</v>
      </c>
      <c r="L19" s="63" t="s">
        <v>126</v>
      </c>
    </row>
    <row r="20" spans="1:12" s="33" customFormat="1">
      <c r="A20" s="48" t="s">
        <v>127</v>
      </c>
      <c r="B20" s="51" t="s">
        <v>128</v>
      </c>
      <c r="C20" s="38" t="s">
        <v>11</v>
      </c>
      <c r="D20" s="51" t="s">
        <v>26</v>
      </c>
      <c r="E20" s="36">
        <v>93443</v>
      </c>
      <c r="F20" s="36">
        <v>126423</v>
      </c>
      <c r="G20" s="36">
        <v>137416</v>
      </c>
      <c r="H20" s="36">
        <v>192383</v>
      </c>
      <c r="I20" s="35">
        <f>SUM(E20:H20)</f>
        <v>549665</v>
      </c>
      <c r="K20" s="33" t="s">
        <v>125</v>
      </c>
      <c r="L20" s="63" t="s">
        <v>129</v>
      </c>
    </row>
    <row r="21" spans="1:12" s="33" customFormat="1">
      <c r="A21" s="48" t="s">
        <v>130</v>
      </c>
      <c r="B21" s="52" t="s">
        <v>131</v>
      </c>
      <c r="C21" s="38" t="s">
        <v>11</v>
      </c>
      <c r="D21" s="38" t="s">
        <v>26</v>
      </c>
      <c r="E21" s="36">
        <v>168300</v>
      </c>
      <c r="F21" s="36">
        <v>227700</v>
      </c>
      <c r="G21" s="36">
        <v>247500</v>
      </c>
      <c r="H21" s="36">
        <v>346500</v>
      </c>
      <c r="I21" s="32">
        <f>SUM(E21:H21)</f>
        <v>990000</v>
      </c>
    </row>
    <row r="22" spans="1:12" s="33" customFormat="1">
      <c r="A22" s="48" t="s">
        <v>132</v>
      </c>
      <c r="B22" s="34" t="s">
        <v>133</v>
      </c>
      <c r="C22" s="38" t="s">
        <v>11</v>
      </c>
      <c r="D22" s="38" t="s">
        <v>26</v>
      </c>
      <c r="E22" s="36">
        <v>50996</v>
      </c>
      <c r="F22" s="36">
        <v>68994</v>
      </c>
      <c r="G22" s="36">
        <v>74994</v>
      </c>
      <c r="H22" s="36">
        <v>104992</v>
      </c>
      <c r="I22" s="32">
        <f>SUM(E22:H22)</f>
        <v>299976</v>
      </c>
    </row>
    <row r="23" spans="1:12" s="33" customFormat="1">
      <c r="A23" s="59" t="s">
        <v>134</v>
      </c>
      <c r="B23" s="76" t="s">
        <v>135</v>
      </c>
      <c r="C23" s="38" t="s">
        <v>11</v>
      </c>
      <c r="D23" s="38" t="s">
        <v>26</v>
      </c>
      <c r="E23" s="36">
        <v>50996</v>
      </c>
      <c r="F23" s="36">
        <v>68994</v>
      </c>
      <c r="G23" s="36">
        <v>74994</v>
      </c>
      <c r="H23" s="36">
        <v>104992</v>
      </c>
      <c r="I23" s="32">
        <f>SUM(E23:H23)</f>
        <v>299976</v>
      </c>
    </row>
    <row r="24" spans="1:12" s="33" customFormat="1">
      <c r="A24" s="60" t="s">
        <v>136</v>
      </c>
      <c r="B24" s="39" t="s">
        <v>137</v>
      </c>
      <c r="C24" s="39" t="s">
        <v>11</v>
      </c>
      <c r="D24" s="39" t="s">
        <v>15</v>
      </c>
      <c r="E24" s="46">
        <v>37306</v>
      </c>
      <c r="F24" s="46">
        <v>50473</v>
      </c>
      <c r="G24" s="46">
        <v>54862</v>
      </c>
      <c r="H24" s="46">
        <v>76807</v>
      </c>
      <c r="I24" s="35">
        <f>SUM(E24:H24)</f>
        <v>219448</v>
      </c>
    </row>
    <row r="25" spans="1:12" s="33" customFormat="1">
      <c r="A25" s="49" t="s">
        <v>138</v>
      </c>
      <c r="B25" s="39" t="s">
        <v>139</v>
      </c>
      <c r="C25" s="39" t="s">
        <v>11</v>
      </c>
      <c r="D25" s="39" t="s">
        <v>15</v>
      </c>
      <c r="E25" s="46">
        <v>1448780</v>
      </c>
      <c r="F25" s="46">
        <v>1960114</v>
      </c>
      <c r="G25" s="46">
        <v>2130559</v>
      </c>
      <c r="H25" s="46">
        <v>2982783</v>
      </c>
      <c r="I25" s="35">
        <f>SUM(E25:H25)</f>
        <v>8522236</v>
      </c>
    </row>
    <row r="26" spans="1:12" s="33" customFormat="1">
      <c r="A26" s="49" t="s">
        <v>140</v>
      </c>
      <c r="B26" s="39" t="s">
        <v>141</v>
      </c>
      <c r="C26" s="39" t="s">
        <v>11</v>
      </c>
      <c r="D26" s="39" t="s">
        <v>15</v>
      </c>
      <c r="E26" s="46">
        <v>829612</v>
      </c>
      <c r="F26" s="46">
        <v>1122416</v>
      </c>
      <c r="G26" s="46">
        <v>1220017</v>
      </c>
      <c r="H26" s="46">
        <v>1708024</v>
      </c>
      <c r="I26" s="35">
        <f>SUM(E26:H26)</f>
        <v>4880069</v>
      </c>
    </row>
    <row r="27" spans="1:12" s="33" customFormat="1">
      <c r="A27" s="49" t="s">
        <v>142</v>
      </c>
      <c r="B27" s="51" t="s">
        <v>143</v>
      </c>
      <c r="C27" s="39" t="s">
        <v>11</v>
      </c>
      <c r="D27" s="39" t="s">
        <v>12</v>
      </c>
      <c r="E27" s="44">
        <v>33542</v>
      </c>
      <c r="F27" s="44">
        <v>45381</v>
      </c>
      <c r="G27" s="44">
        <v>49327</v>
      </c>
      <c r="H27" s="44">
        <v>69057</v>
      </c>
      <c r="I27" s="32">
        <f>SUM(E27:H27)</f>
        <v>197307</v>
      </c>
    </row>
    <row r="28" spans="1:12">
      <c r="A28" s="48" t="s">
        <v>144</v>
      </c>
      <c r="B28" s="51" t="s">
        <v>145</v>
      </c>
      <c r="C28" s="39" t="s">
        <v>11</v>
      </c>
      <c r="D28" s="39" t="s">
        <v>15</v>
      </c>
      <c r="E28" s="85">
        <v>145088</v>
      </c>
      <c r="F28" s="85">
        <v>196296</v>
      </c>
      <c r="G28" s="85">
        <v>213365</v>
      </c>
      <c r="H28" s="85">
        <v>298711</v>
      </c>
      <c r="I28" s="35">
        <f>SUM(E28:H28)</f>
        <v>853460</v>
      </c>
      <c r="K28" t="s">
        <v>146</v>
      </c>
      <c r="L28" s="63" t="s">
        <v>147</v>
      </c>
    </row>
    <row r="29" spans="1:12">
      <c r="A29" s="72" t="s">
        <v>148</v>
      </c>
      <c r="B29" s="51" t="s">
        <v>149</v>
      </c>
      <c r="C29" s="51" t="s">
        <v>11</v>
      </c>
      <c r="D29" s="51" t="s">
        <v>12</v>
      </c>
      <c r="E29" s="82">
        <v>70769</v>
      </c>
      <c r="F29" s="82">
        <v>95746</v>
      </c>
      <c r="G29" s="82">
        <v>104071</v>
      </c>
      <c r="H29" s="82">
        <v>145700</v>
      </c>
      <c r="I29" s="35">
        <f>SUM(E29:H29)</f>
        <v>416286</v>
      </c>
      <c r="K29" t="s">
        <v>146</v>
      </c>
      <c r="L29" s="63" t="s">
        <v>150</v>
      </c>
    </row>
    <row r="30" spans="1:12">
      <c r="A30" s="75" t="s">
        <v>151</v>
      </c>
      <c r="B30" s="53" t="s">
        <v>152</v>
      </c>
      <c r="C30" s="39" t="s">
        <v>11</v>
      </c>
      <c r="D30" s="39" t="s">
        <v>12</v>
      </c>
      <c r="E30" s="83">
        <v>415253</v>
      </c>
      <c r="F30" s="83">
        <v>561813</v>
      </c>
      <c r="G30" s="83">
        <v>610666</v>
      </c>
      <c r="H30" s="83">
        <v>854932</v>
      </c>
      <c r="I30" s="32">
        <f>SUM(E30:H30)</f>
        <v>2442664</v>
      </c>
      <c r="J30" s="33"/>
      <c r="K30" s="33"/>
      <c r="L30" s="33"/>
    </row>
    <row r="31" spans="1:12">
      <c r="A31" s="48" t="s">
        <v>153</v>
      </c>
      <c r="B31" s="57" t="s">
        <v>154</v>
      </c>
      <c r="C31" s="39" t="s">
        <v>11</v>
      </c>
      <c r="D31" s="53" t="s">
        <v>12</v>
      </c>
      <c r="E31" s="46">
        <v>186818</v>
      </c>
      <c r="F31" s="83">
        <v>252754</v>
      </c>
      <c r="G31" s="83">
        <v>274733</v>
      </c>
      <c r="H31" s="83">
        <v>384626</v>
      </c>
      <c r="I31" s="32">
        <f>SUM(E31:H31)</f>
        <v>1098931</v>
      </c>
      <c r="J31" s="33"/>
      <c r="K31" s="33"/>
      <c r="L31" s="33"/>
    </row>
    <row r="32" spans="1:12">
      <c r="A32" s="59" t="s">
        <v>155</v>
      </c>
      <c r="B32" s="76" t="s">
        <v>156</v>
      </c>
      <c r="C32" s="38" t="s">
        <v>11</v>
      </c>
      <c r="D32" s="52" t="s">
        <v>26</v>
      </c>
      <c r="E32" s="36">
        <v>126916</v>
      </c>
      <c r="F32" s="84">
        <v>171710</v>
      </c>
      <c r="G32" s="84">
        <v>186641</v>
      </c>
      <c r="H32" s="84">
        <v>261298</v>
      </c>
      <c r="I32" s="32">
        <f>SUM(E32:H32)</f>
        <v>746565</v>
      </c>
      <c r="J32" s="33"/>
      <c r="K32" s="33"/>
      <c r="L32" s="33"/>
    </row>
    <row r="33" spans="1:12">
      <c r="A33" s="59" t="s">
        <v>157</v>
      </c>
      <c r="B33" s="57" t="s">
        <v>158</v>
      </c>
      <c r="C33" s="39" t="s">
        <v>11</v>
      </c>
      <c r="D33" s="52" t="s">
        <v>26</v>
      </c>
      <c r="E33" s="58">
        <v>207354</v>
      </c>
      <c r="F33" s="84">
        <v>280538</v>
      </c>
      <c r="G33" s="84">
        <v>304933</v>
      </c>
      <c r="H33" s="84">
        <v>426906</v>
      </c>
      <c r="I33" s="35">
        <f>SUM(E33:H33)</f>
        <v>1219731</v>
      </c>
      <c r="J33" s="33"/>
      <c r="K33" s="33"/>
      <c r="L33" s="33"/>
    </row>
    <row r="34" spans="1:12">
      <c r="A34" s="71" t="s">
        <v>159</v>
      </c>
      <c r="B34" s="53" t="s">
        <v>160</v>
      </c>
      <c r="C34" s="53" t="s">
        <v>11</v>
      </c>
      <c r="D34" s="53" t="s">
        <v>26</v>
      </c>
      <c r="E34" s="55">
        <v>78054</v>
      </c>
      <c r="F34" s="55">
        <v>105602</v>
      </c>
      <c r="G34" s="55">
        <v>114785</v>
      </c>
      <c r="H34" s="55">
        <v>160698</v>
      </c>
      <c r="I34" s="32">
        <f>SUM(E34:H34)</f>
        <v>459139</v>
      </c>
      <c r="L34" s="33"/>
    </row>
    <row r="35" spans="1:12">
      <c r="A35" s="73" t="s">
        <v>161</v>
      </c>
      <c r="B35" s="77" t="s">
        <v>162</v>
      </c>
      <c r="C35" s="53" t="s">
        <v>11</v>
      </c>
      <c r="D35" s="53" t="s">
        <v>26</v>
      </c>
      <c r="E35" s="83">
        <v>42915</v>
      </c>
      <c r="F35" s="83">
        <v>58062</v>
      </c>
      <c r="G35" s="83">
        <v>63111</v>
      </c>
      <c r="H35" s="83">
        <v>88355</v>
      </c>
      <c r="I35" s="35">
        <f>SUM(E35:H35)</f>
        <v>252443</v>
      </c>
      <c r="L35" s="33"/>
    </row>
    <row r="36" spans="1:12">
      <c r="A36" s="59" t="s">
        <v>163</v>
      </c>
      <c r="B36" s="57" t="s">
        <v>164</v>
      </c>
      <c r="C36" s="53" t="s">
        <v>11</v>
      </c>
      <c r="D36" s="53" t="s">
        <v>26</v>
      </c>
      <c r="E36" s="84">
        <v>35486</v>
      </c>
      <c r="F36" s="84">
        <v>48011</v>
      </c>
      <c r="G36" s="84">
        <v>52185</v>
      </c>
      <c r="H36" s="84">
        <v>73060</v>
      </c>
      <c r="I36" s="35">
        <f>SUM(E36:H36)</f>
        <v>208742</v>
      </c>
    </row>
    <row r="37" spans="1:12">
      <c r="A37" s="59" t="s">
        <v>165</v>
      </c>
      <c r="B37" s="57" t="s">
        <v>166</v>
      </c>
      <c r="C37" s="53" t="s">
        <v>11</v>
      </c>
      <c r="D37" s="53" t="s">
        <v>12</v>
      </c>
      <c r="E37" s="81">
        <v>130820</v>
      </c>
      <c r="F37" s="84">
        <v>176992</v>
      </c>
      <c r="G37" s="84">
        <v>192383</v>
      </c>
      <c r="H37" s="84">
        <v>269336</v>
      </c>
      <c r="I37" s="35">
        <f>SUM(E37:H37)</f>
        <v>769531</v>
      </c>
      <c r="K37" t="s">
        <v>125</v>
      </c>
      <c r="L37" s="63" t="s">
        <v>167</v>
      </c>
    </row>
    <row r="38" spans="1:12">
      <c r="A38" s="59" t="s">
        <v>168</v>
      </c>
      <c r="B38" t="s">
        <v>169</v>
      </c>
      <c r="C38" s="39" t="s">
        <v>11</v>
      </c>
      <c r="D38" s="39" t="s">
        <v>15</v>
      </c>
      <c r="E38" s="35">
        <v>290176</v>
      </c>
      <c r="F38" s="35">
        <v>392591</v>
      </c>
      <c r="G38" s="35">
        <v>426730</v>
      </c>
      <c r="H38" s="35">
        <v>597422</v>
      </c>
      <c r="I38" s="35">
        <f>SUM(E38:H38)</f>
        <v>1706919</v>
      </c>
      <c r="K38" t="s">
        <v>170</v>
      </c>
      <c r="L38" s="63" t="s">
        <v>171</v>
      </c>
    </row>
    <row r="39" spans="1:12">
      <c r="A39" s="53" t="s">
        <v>172</v>
      </c>
      <c r="B39" s="54" t="s">
        <v>173</v>
      </c>
      <c r="C39" s="39" t="s">
        <v>11</v>
      </c>
      <c r="D39" s="39" t="s">
        <v>26</v>
      </c>
      <c r="E39" s="55">
        <v>291802</v>
      </c>
      <c r="F39" s="55">
        <v>394790</v>
      </c>
      <c r="G39" s="55">
        <v>429120</v>
      </c>
      <c r="H39" s="55">
        <v>600768</v>
      </c>
      <c r="I39" s="32">
        <f>SUM(E39:H39)</f>
        <v>1716480</v>
      </c>
      <c r="K39" t="s">
        <v>174</v>
      </c>
      <c r="L39" s="63" t="s">
        <v>175</v>
      </c>
    </row>
    <row r="40" spans="1:12">
      <c r="A40" s="59" t="s">
        <v>176</v>
      </c>
      <c r="B40" s="52" t="s">
        <v>177</v>
      </c>
      <c r="C40" s="38" t="s">
        <v>178</v>
      </c>
      <c r="D40" s="79" t="s">
        <v>179</v>
      </c>
      <c r="E40" s="56">
        <v>30514</v>
      </c>
      <c r="F40" s="56">
        <v>64080</v>
      </c>
      <c r="G40" s="56">
        <v>91542</v>
      </c>
      <c r="H40" s="56">
        <v>119005</v>
      </c>
      <c r="I40" s="32">
        <f>SUM(E40:H40)</f>
        <v>305141</v>
      </c>
      <c r="J40" s="35"/>
      <c r="K40" t="s">
        <v>125</v>
      </c>
      <c r="L40" s="63" t="s">
        <v>180</v>
      </c>
    </row>
    <row r="41" spans="1:12">
      <c r="A41" s="22" t="s">
        <v>176</v>
      </c>
      <c r="B41" s="52" t="s">
        <v>177</v>
      </c>
      <c r="C41" s="38" t="s">
        <v>11</v>
      </c>
      <c r="D41" s="38" t="s">
        <v>12</v>
      </c>
      <c r="E41" s="56">
        <v>172913</v>
      </c>
      <c r="F41" s="56">
        <v>233941</v>
      </c>
      <c r="G41" s="56">
        <v>254284</v>
      </c>
      <c r="H41" s="56">
        <v>355997</v>
      </c>
      <c r="I41" s="32">
        <f>SUM(E41:H41)</f>
        <v>1017135</v>
      </c>
      <c r="K41" t="s">
        <v>125</v>
      </c>
      <c r="L41" s="63" t="s">
        <v>180</v>
      </c>
    </row>
    <row r="42" spans="1:12">
      <c r="A42" s="22" t="s">
        <v>176</v>
      </c>
      <c r="B42" s="52" t="s">
        <v>177</v>
      </c>
      <c r="C42" s="52" t="s">
        <v>178</v>
      </c>
      <c r="D42" s="61" t="s">
        <v>181</v>
      </c>
      <c r="E42" s="56">
        <v>376340</v>
      </c>
      <c r="F42" s="56">
        <v>790314</v>
      </c>
      <c r="G42" s="56">
        <v>1129020</v>
      </c>
      <c r="H42" s="56">
        <v>1467726</v>
      </c>
      <c r="I42" s="32">
        <f>SUM(E42:H42)</f>
        <v>3763400</v>
      </c>
      <c r="K42" t="s">
        <v>125</v>
      </c>
      <c r="L42" s="63" t="s">
        <v>180</v>
      </c>
    </row>
    <row r="43" spans="1:12">
      <c r="A43" t="s">
        <v>182</v>
      </c>
      <c r="B43" t="s">
        <v>49</v>
      </c>
      <c r="C43" s="39" t="s">
        <v>11</v>
      </c>
      <c r="D43" s="39" t="s">
        <v>15</v>
      </c>
      <c r="E43" s="64">
        <v>145088</v>
      </c>
      <c r="F43" s="64">
        <v>196296</v>
      </c>
      <c r="G43" s="64">
        <v>213365</v>
      </c>
      <c r="H43" s="64">
        <v>298711</v>
      </c>
      <c r="I43" s="32">
        <f>SUM(E43:H43)</f>
        <v>853460</v>
      </c>
      <c r="K43" t="s">
        <v>183</v>
      </c>
      <c r="L43" s="63" t="s">
        <v>184</v>
      </c>
    </row>
    <row r="44" spans="1:12">
      <c r="A44" t="s">
        <v>185</v>
      </c>
      <c r="B44" t="s">
        <v>186</v>
      </c>
      <c r="C44" s="53" t="s">
        <v>11</v>
      </c>
      <c r="D44" s="53" t="s">
        <v>26</v>
      </c>
      <c r="E44" s="64">
        <v>79267</v>
      </c>
      <c r="F44" s="64">
        <v>107244</v>
      </c>
      <c r="G44" s="64">
        <v>116570</v>
      </c>
      <c r="H44" s="64">
        <v>163198</v>
      </c>
      <c r="I44" s="32">
        <f>SUM(E44:H44)</f>
        <v>466279</v>
      </c>
      <c r="K44" t="s">
        <v>187</v>
      </c>
      <c r="L44" s="63" t="s">
        <v>188</v>
      </c>
    </row>
  </sheetData>
  <autoFilter ref="A2:L40" xr:uid="{5E6EE2B7-DEB0-4CB6-8E7F-B72EBB754C1F}">
    <sortState xmlns:xlrd2="http://schemas.microsoft.com/office/spreadsheetml/2017/richdata2" ref="A3:L42">
      <sortCondition ref="A2:A40"/>
    </sortState>
  </autoFilter>
  <mergeCells count="1">
    <mergeCell ref="B1:H1"/>
  </mergeCells>
  <hyperlinks>
    <hyperlink ref="L40" r:id="rId1" xr:uid="{7A356816-2572-49F3-A338-EFF7D6FA25F2}"/>
    <hyperlink ref="L41" r:id="rId2" xr:uid="{44981000-9852-471E-BDA6-EC9298F756E6}"/>
    <hyperlink ref="L42" r:id="rId3" xr:uid="{F6619240-DB9B-40DB-A5DB-04B86D5BDD5A}"/>
    <hyperlink ref="L39" r:id="rId4" xr:uid="{90CE6D2B-460B-4A2D-8E99-3C0388AF2AB2}"/>
    <hyperlink ref="L8" r:id="rId5" xr:uid="{295EAE23-A482-4927-AF80-128035259220}"/>
    <hyperlink ref="L9" r:id="rId6" xr:uid="{7880C961-4818-462B-812E-02469E7B2117}"/>
    <hyperlink ref="L6" r:id="rId7" xr:uid="{85314DCA-D254-4C27-B6E9-CAC7B1B69B35}"/>
    <hyperlink ref="L7" r:id="rId8" xr:uid="{CB88F0FB-9826-44D0-8E69-154974969A98}"/>
    <hyperlink ref="L38" r:id="rId9" xr:uid="{0337308D-CEE9-4691-8CC0-D9AA8990DDCE}"/>
    <hyperlink ref="L18" r:id="rId10" xr:uid="{12C6774C-3036-447D-9116-3D67C1BD5685}"/>
    <hyperlink ref="L28" r:id="rId11" xr:uid="{BC1BA26F-5F02-4131-BDFB-C93F6B9FCFCC}"/>
    <hyperlink ref="L37" r:id="rId12" xr:uid="{2BDBCF08-384A-46FB-8056-2CCA148A6569}"/>
    <hyperlink ref="L19" r:id="rId13" xr:uid="{31A94D6F-92D7-4CA3-8F11-AC90F84B1080}"/>
    <hyperlink ref="L20" r:id="rId14" xr:uid="{23ADB085-C079-4304-8389-E8E30FBEE20A}"/>
    <hyperlink ref="L29" r:id="rId15" xr:uid="{9109CCFB-3964-48BB-B408-D21173363322}"/>
    <hyperlink ref="L43" r:id="rId16" xr:uid="{1597C3EE-D8D6-4A78-BDB7-B7257EC61925}"/>
    <hyperlink ref="L4" r:id="rId17" xr:uid="{684F6D47-4356-454E-897F-4AD45245F0EE}"/>
    <hyperlink ref="L3" r:id="rId18" xr:uid="{B7742F6D-BF95-402C-873B-E0A11F13145F}"/>
    <hyperlink ref="L44" r:id="rId19" xr:uid="{E7DC6BAD-FEAB-4B95-91AC-5C3BB347DC2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75398A-B9E6-4DB4-9428-71766FEE7C5D}">
          <x14:formula1>
            <xm:f>'Options for KPI UT Levels'!$B$2:$B$47</xm:f>
          </x14:formula1>
          <xm:sqref>D38:D40 D43 D3:D28</xm:sqref>
        </x14:dataValidation>
        <x14:dataValidation type="list" allowBlank="1" showInputMessage="1" showErrorMessage="1" xr:uid="{64CA3E77-2158-45DC-9CBE-7EFBA6909C55}">
          <x14:formula1>
            <xm:f>'Options for KPI UT Levels'!$A$2:$A$47</xm:f>
          </x14:formula1>
          <xm:sqref>C38:C41 C43 C3:C33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7673-EF05-40E3-99CD-0DDB2104B03B}">
  <sheetPr>
    <tabColor rgb="FF00B0F0"/>
  </sheetPr>
  <dimension ref="A1:L34"/>
  <sheetViews>
    <sheetView tabSelected="1" workbookViewId="0">
      <pane xSplit="1" ySplit="2" topLeftCell="C7" activePane="bottomRight" state="frozen"/>
      <selection pane="bottomRight" activeCell="A11" sqref="A11"/>
      <selection pane="bottomLeft"/>
      <selection pane="topRight"/>
    </sheetView>
  </sheetViews>
  <sheetFormatPr defaultRowHeight="15.75" outlineLevelCol="1"/>
  <cols>
    <col min="1" max="1" width="58.125" customWidth="1"/>
    <col min="2" max="2" width="21.125" customWidth="1"/>
    <col min="3" max="3" width="17.875" customWidth="1"/>
    <col min="4" max="4" width="22" bestFit="1" customWidth="1"/>
    <col min="5" max="8" width="17.875" customWidth="1" outlineLevel="1"/>
    <col min="9" max="9" width="17.875" customWidth="1"/>
  </cols>
  <sheetData>
    <row r="1" spans="1:12" ht="21" customHeight="1">
      <c r="A1" s="43" t="s">
        <v>189</v>
      </c>
      <c r="B1" s="88"/>
      <c r="C1" s="89"/>
      <c r="D1" s="89"/>
      <c r="E1" s="89"/>
      <c r="F1" s="89"/>
      <c r="G1" s="89"/>
      <c r="H1" s="89"/>
      <c r="I1" s="30"/>
    </row>
    <row r="2" spans="1:12">
      <c r="A2" s="42" t="s">
        <v>1</v>
      </c>
      <c r="B2" s="42" t="s">
        <v>2</v>
      </c>
      <c r="C2" s="42" t="s">
        <v>3</v>
      </c>
      <c r="D2" s="42" t="s">
        <v>4</v>
      </c>
      <c r="E2" s="42" t="s">
        <v>5</v>
      </c>
      <c r="F2" s="42" t="s">
        <v>6</v>
      </c>
      <c r="G2" s="42" t="s">
        <v>7</v>
      </c>
      <c r="H2" s="42" t="s">
        <v>8</v>
      </c>
      <c r="I2" s="31" t="s">
        <v>86</v>
      </c>
      <c r="J2" t="s">
        <v>87</v>
      </c>
      <c r="K2" t="s">
        <v>88</v>
      </c>
      <c r="L2" t="s">
        <v>190</v>
      </c>
    </row>
    <row r="3" spans="1:12">
      <c r="A3" s="69" t="s">
        <v>191</v>
      </c>
      <c r="B3" t="s">
        <v>192</v>
      </c>
      <c r="C3" s="57" t="s">
        <v>11</v>
      </c>
      <c r="D3" s="57" t="s">
        <v>26</v>
      </c>
      <c r="E3" s="64">
        <v>50369</v>
      </c>
      <c r="F3" s="64">
        <v>68146</v>
      </c>
      <c r="G3" s="64">
        <v>74071</v>
      </c>
      <c r="H3" s="64">
        <v>103700</v>
      </c>
      <c r="I3" s="35">
        <f>SUM(E3:H3)</f>
        <v>296286</v>
      </c>
      <c r="K3" t="s">
        <v>174</v>
      </c>
      <c r="L3" s="63" t="s">
        <v>193</v>
      </c>
    </row>
    <row r="4" spans="1:12">
      <c r="A4" s="69" t="s">
        <v>194</v>
      </c>
      <c r="B4" t="s">
        <v>195</v>
      </c>
      <c r="C4" s="57" t="s">
        <v>11</v>
      </c>
      <c r="D4" s="57" t="s">
        <v>26</v>
      </c>
      <c r="E4" s="64">
        <v>243699</v>
      </c>
      <c r="F4" s="64">
        <v>329711</v>
      </c>
      <c r="G4" s="64">
        <v>358381</v>
      </c>
      <c r="H4" s="64">
        <v>501733</v>
      </c>
      <c r="I4" s="35">
        <f>SUM(E4:H4)</f>
        <v>1433524</v>
      </c>
      <c r="J4" s="35">
        <f>I4+I5</f>
        <v>2047892</v>
      </c>
      <c r="K4" t="s">
        <v>105</v>
      </c>
      <c r="L4" s="63" t="s">
        <v>196</v>
      </c>
    </row>
    <row r="5" spans="1:12">
      <c r="A5" s="69" t="s">
        <v>194</v>
      </c>
      <c r="B5" t="s">
        <v>195</v>
      </c>
      <c r="C5" s="57" t="s">
        <v>42</v>
      </c>
      <c r="D5" s="57" t="s">
        <v>45</v>
      </c>
      <c r="E5" s="64">
        <v>104442</v>
      </c>
      <c r="F5" s="64">
        <v>141305</v>
      </c>
      <c r="G5" s="64">
        <v>153592</v>
      </c>
      <c r="H5" s="64">
        <v>215029</v>
      </c>
      <c r="I5" s="35">
        <f>SUM(E5:H5)</f>
        <v>614368</v>
      </c>
      <c r="K5" t="s">
        <v>105</v>
      </c>
      <c r="L5" s="63" t="s">
        <v>196</v>
      </c>
    </row>
    <row r="6" spans="1:12">
      <c r="A6" s="69" t="s">
        <v>197</v>
      </c>
      <c r="B6" t="s">
        <v>198</v>
      </c>
      <c r="C6" s="57" t="s">
        <v>11</v>
      </c>
      <c r="D6" s="57" t="s">
        <v>26</v>
      </c>
      <c r="E6" s="64">
        <v>243699</v>
      </c>
      <c r="F6" s="64">
        <v>329711</v>
      </c>
      <c r="G6" s="64">
        <v>358381</v>
      </c>
      <c r="H6" s="64">
        <v>501733</v>
      </c>
      <c r="I6" s="35">
        <f>SUM(E6:H6)</f>
        <v>1433524</v>
      </c>
      <c r="K6" t="s">
        <v>183</v>
      </c>
      <c r="L6" s="63" t="s">
        <v>199</v>
      </c>
    </row>
    <row r="7" spans="1:12">
      <c r="A7" s="69" t="s">
        <v>197</v>
      </c>
      <c r="B7" t="s">
        <v>198</v>
      </c>
      <c r="C7" s="57" t="s">
        <v>42</v>
      </c>
      <c r="D7" s="57" t="s">
        <v>45</v>
      </c>
      <c r="E7" s="64">
        <v>104442</v>
      </c>
      <c r="F7" s="64">
        <v>141305</v>
      </c>
      <c r="G7" s="64">
        <v>153592</v>
      </c>
      <c r="H7" s="64">
        <v>215029</v>
      </c>
      <c r="I7" s="35">
        <f>SUM(E7:H7)</f>
        <v>614368</v>
      </c>
      <c r="K7" t="s">
        <v>183</v>
      </c>
      <c r="L7" s="63" t="s">
        <v>199</v>
      </c>
    </row>
    <row r="8" spans="1:12">
      <c r="A8" s="69" t="s">
        <v>200</v>
      </c>
      <c r="B8" t="s">
        <v>201</v>
      </c>
      <c r="C8" s="57" t="s">
        <v>11</v>
      </c>
      <c r="D8" s="57" t="s">
        <v>26</v>
      </c>
      <c r="E8" s="64">
        <v>243699</v>
      </c>
      <c r="F8" s="64">
        <v>329711</v>
      </c>
      <c r="G8" s="64">
        <v>358381</v>
      </c>
      <c r="H8" s="64">
        <v>501733</v>
      </c>
      <c r="I8" s="35">
        <f>SUM(E8:H8)</f>
        <v>1433524</v>
      </c>
      <c r="K8" t="s">
        <v>202</v>
      </c>
      <c r="L8" s="63" t="s">
        <v>203</v>
      </c>
    </row>
    <row r="9" spans="1:12">
      <c r="A9" s="69" t="s">
        <v>200</v>
      </c>
      <c r="B9" t="s">
        <v>201</v>
      </c>
      <c r="C9" s="57" t="s">
        <v>42</v>
      </c>
      <c r="D9" s="57" t="s">
        <v>45</v>
      </c>
      <c r="E9" s="64">
        <v>104442</v>
      </c>
      <c r="F9" s="64">
        <v>141305</v>
      </c>
      <c r="G9" s="64">
        <v>153592</v>
      </c>
      <c r="H9" s="64">
        <v>215029</v>
      </c>
      <c r="I9" s="35">
        <f>SUM(E9:H9)</f>
        <v>614368</v>
      </c>
      <c r="K9" t="s">
        <v>202</v>
      </c>
      <c r="L9" s="63" t="s">
        <v>203</v>
      </c>
    </row>
    <row r="10" spans="1:12">
      <c r="A10" s="69" t="s">
        <v>204</v>
      </c>
      <c r="B10" t="s">
        <v>205</v>
      </c>
      <c r="C10" t="s">
        <v>11</v>
      </c>
      <c r="D10" t="s">
        <v>15</v>
      </c>
      <c r="E10" s="70">
        <v>38816</v>
      </c>
      <c r="F10" s="70">
        <v>52515</v>
      </c>
      <c r="G10" s="70">
        <v>57082</v>
      </c>
      <c r="H10" s="70">
        <v>79914</v>
      </c>
      <c r="I10" s="35">
        <f>SUM(E10:H10)</f>
        <v>228327</v>
      </c>
    </row>
    <row r="11" spans="1:12">
      <c r="A11" s="69" t="s">
        <v>206</v>
      </c>
      <c r="B11" t="s">
        <v>207</v>
      </c>
      <c r="C11" t="s">
        <v>11</v>
      </c>
      <c r="D11" t="s">
        <v>12</v>
      </c>
      <c r="E11" s="64">
        <v>38816</v>
      </c>
      <c r="F11" s="64">
        <v>52515</v>
      </c>
      <c r="G11" s="64">
        <v>57082</v>
      </c>
      <c r="H11" s="64">
        <v>79914</v>
      </c>
      <c r="I11" s="35">
        <f>SUM(E11:H11)</f>
        <v>228327</v>
      </c>
      <c r="K11" t="s">
        <v>101</v>
      </c>
      <c r="L11" s="63" t="s">
        <v>208</v>
      </c>
    </row>
    <row r="12" spans="1:12">
      <c r="A12" s="69" t="s">
        <v>209</v>
      </c>
      <c r="B12" t="s">
        <v>210</v>
      </c>
      <c r="C12" t="s">
        <v>11</v>
      </c>
      <c r="D12" t="s">
        <v>15</v>
      </c>
      <c r="E12" s="70">
        <v>38816</v>
      </c>
      <c r="F12" s="70">
        <v>52515</v>
      </c>
      <c r="G12" s="70">
        <v>57082</v>
      </c>
      <c r="H12" s="70">
        <v>79914</v>
      </c>
      <c r="I12" s="35">
        <f>SUM(E12:H12)</f>
        <v>228327</v>
      </c>
    </row>
    <row r="13" spans="1:12">
      <c r="A13" s="69" t="s">
        <v>211</v>
      </c>
      <c r="B13" t="s">
        <v>212</v>
      </c>
      <c r="C13" t="s">
        <v>11</v>
      </c>
      <c r="D13" t="s">
        <v>15</v>
      </c>
      <c r="E13" s="70">
        <v>38816</v>
      </c>
      <c r="F13" s="70">
        <v>52515</v>
      </c>
      <c r="G13" s="70">
        <v>57082</v>
      </c>
      <c r="H13" s="70">
        <v>79914</v>
      </c>
      <c r="I13" s="35">
        <f>SUM(E13:H13)</f>
        <v>228327</v>
      </c>
    </row>
    <row r="14" spans="1:12">
      <c r="A14" s="69" t="s">
        <v>213</v>
      </c>
      <c r="B14" t="s">
        <v>214</v>
      </c>
      <c r="C14" s="66" t="s">
        <v>215</v>
      </c>
      <c r="D14" s="66" t="s">
        <v>216</v>
      </c>
      <c r="E14" s="64">
        <v>71525</v>
      </c>
      <c r="F14" s="64">
        <v>150203</v>
      </c>
      <c r="G14" s="64">
        <v>214576</v>
      </c>
      <c r="H14" s="64">
        <v>278949</v>
      </c>
      <c r="I14" s="35">
        <f>SUM(E14:H14)</f>
        <v>715253</v>
      </c>
      <c r="J14" s="35"/>
      <c r="K14" t="s">
        <v>125</v>
      </c>
      <c r="L14" s="63" t="s">
        <v>217</v>
      </c>
    </row>
    <row r="15" spans="1:12">
      <c r="A15" s="69" t="s">
        <v>213</v>
      </c>
      <c r="B15" t="s">
        <v>214</v>
      </c>
      <c r="C15" s="66" t="s">
        <v>178</v>
      </c>
      <c r="D15" s="66" t="s">
        <v>179</v>
      </c>
      <c r="E15" s="64">
        <v>21458</v>
      </c>
      <c r="F15" s="64">
        <v>45061</v>
      </c>
      <c r="G15" s="64">
        <v>64373</v>
      </c>
      <c r="H15" s="64">
        <v>83685</v>
      </c>
      <c r="I15" s="35">
        <f>SUM(E15:H15)</f>
        <v>214577</v>
      </c>
      <c r="K15" t="s">
        <v>125</v>
      </c>
      <c r="L15" s="63" t="s">
        <v>217</v>
      </c>
    </row>
    <row r="16" spans="1:12">
      <c r="A16" s="69" t="s">
        <v>213</v>
      </c>
      <c r="B16" t="s">
        <v>214</v>
      </c>
      <c r="C16" s="66" t="s">
        <v>218</v>
      </c>
      <c r="D16" s="66" t="s">
        <v>219</v>
      </c>
      <c r="E16" s="64">
        <v>228881</v>
      </c>
      <c r="F16" s="64">
        <v>480650</v>
      </c>
      <c r="G16" s="64">
        <v>686643</v>
      </c>
      <c r="H16" s="64">
        <v>892636</v>
      </c>
      <c r="I16" s="35">
        <f>SUM(E16:H16)</f>
        <v>2288810</v>
      </c>
      <c r="K16" t="s">
        <v>125</v>
      </c>
      <c r="L16" s="63" t="s">
        <v>217</v>
      </c>
    </row>
    <row r="17" spans="1:12">
      <c r="A17" s="69" t="s">
        <v>213</v>
      </c>
      <c r="B17" t="s">
        <v>214</v>
      </c>
      <c r="C17" s="66" t="s">
        <v>11</v>
      </c>
      <c r="D17" s="66" t="s">
        <v>26</v>
      </c>
      <c r="E17" s="64">
        <v>182390</v>
      </c>
      <c r="F17" s="64">
        <v>246762</v>
      </c>
      <c r="G17" s="64">
        <v>268220</v>
      </c>
      <c r="H17" s="64">
        <v>375508</v>
      </c>
      <c r="I17" s="35">
        <f>SUM(E17:H17)</f>
        <v>1072880</v>
      </c>
      <c r="J17" s="35"/>
      <c r="K17" t="s">
        <v>125</v>
      </c>
      <c r="L17" s="63" t="s">
        <v>217</v>
      </c>
    </row>
    <row r="18" spans="1:12">
      <c r="A18" s="69" t="s">
        <v>213</v>
      </c>
      <c r="B18" t="s">
        <v>214</v>
      </c>
      <c r="C18" s="66" t="s">
        <v>11</v>
      </c>
      <c r="D18" s="66" t="s">
        <v>12</v>
      </c>
      <c r="E18" s="64">
        <v>486372</v>
      </c>
      <c r="F18" s="64">
        <v>658033</v>
      </c>
      <c r="G18" s="64">
        <v>715253</v>
      </c>
      <c r="H18" s="64">
        <v>1001354</v>
      </c>
      <c r="I18" s="35">
        <f>SUM(E18:H18)</f>
        <v>2861012</v>
      </c>
      <c r="K18" t="s">
        <v>125</v>
      </c>
      <c r="L18" s="63" t="s">
        <v>217</v>
      </c>
    </row>
    <row r="19" spans="1:12">
      <c r="A19" s="69" t="s">
        <v>220</v>
      </c>
      <c r="B19" t="s">
        <v>221</v>
      </c>
      <c r="C19" t="s">
        <v>11</v>
      </c>
      <c r="D19" t="s">
        <v>26</v>
      </c>
      <c r="E19" s="70">
        <v>38816</v>
      </c>
      <c r="F19" s="70">
        <v>52515</v>
      </c>
      <c r="G19" s="70">
        <v>57082</v>
      </c>
      <c r="H19" s="70">
        <v>79914</v>
      </c>
      <c r="I19" s="35">
        <f>SUM(E19:H19)</f>
        <v>228327</v>
      </c>
    </row>
    <row r="20" spans="1:12">
      <c r="A20" s="69" t="s">
        <v>222</v>
      </c>
      <c r="B20" t="s">
        <v>223</v>
      </c>
      <c r="C20" t="s">
        <v>11</v>
      </c>
      <c r="D20" t="s">
        <v>15</v>
      </c>
      <c r="E20" s="64">
        <v>93443</v>
      </c>
      <c r="F20" s="64">
        <v>126423</v>
      </c>
      <c r="G20" s="64">
        <v>137416</v>
      </c>
      <c r="H20" s="64">
        <v>192383</v>
      </c>
      <c r="I20" s="35">
        <f>SUM(E20:H20)</f>
        <v>549665</v>
      </c>
      <c r="K20" t="s">
        <v>202</v>
      </c>
    </row>
    <row r="21" spans="1:12">
      <c r="A21" t="s">
        <v>224</v>
      </c>
      <c r="B21" t="s">
        <v>225</v>
      </c>
      <c r="C21" t="s">
        <v>11</v>
      </c>
      <c r="D21" t="s">
        <v>15</v>
      </c>
      <c r="E21" s="70">
        <v>93443</v>
      </c>
      <c r="F21" s="70">
        <v>126423</v>
      </c>
      <c r="G21" s="70">
        <v>137416</v>
      </c>
      <c r="H21" s="70">
        <v>192383</v>
      </c>
      <c r="I21" s="35">
        <f>SUM(E21:H21)</f>
        <v>549665</v>
      </c>
    </row>
    <row r="22" spans="1:12">
      <c r="A22" s="69" t="s">
        <v>226</v>
      </c>
      <c r="B22" t="s">
        <v>225</v>
      </c>
      <c r="C22" t="s">
        <v>11</v>
      </c>
      <c r="D22" t="s">
        <v>12</v>
      </c>
      <c r="E22" s="67">
        <v>24999</v>
      </c>
      <c r="F22" s="67">
        <v>33822</v>
      </c>
      <c r="G22" s="67">
        <v>36763</v>
      </c>
      <c r="H22" s="67">
        <v>51469</v>
      </c>
      <c r="I22" s="35">
        <f>SUM(E22:H22)</f>
        <v>147053</v>
      </c>
    </row>
    <row r="23" spans="1:12">
      <c r="A23" s="69" t="s">
        <v>227</v>
      </c>
      <c r="B23" t="s">
        <v>228</v>
      </c>
      <c r="C23" t="s">
        <v>11</v>
      </c>
      <c r="D23" t="s">
        <v>15</v>
      </c>
      <c r="E23" s="65">
        <v>829612</v>
      </c>
      <c r="F23" s="65">
        <v>1122416</v>
      </c>
      <c r="G23" s="65">
        <v>1220017</v>
      </c>
      <c r="H23" s="65">
        <v>1708024</v>
      </c>
      <c r="I23" s="35">
        <f>SUM(E23:H23)</f>
        <v>4880069</v>
      </c>
      <c r="K23" t="s">
        <v>109</v>
      </c>
    </row>
    <row r="24" spans="1:12">
      <c r="A24" s="69" t="s">
        <v>229</v>
      </c>
      <c r="B24" t="s">
        <v>230</v>
      </c>
      <c r="C24" t="s">
        <v>11</v>
      </c>
      <c r="D24" t="s">
        <v>15</v>
      </c>
      <c r="E24" s="35">
        <v>142140</v>
      </c>
      <c r="F24" s="35">
        <v>192307</v>
      </c>
      <c r="G24" s="35">
        <v>209029</v>
      </c>
      <c r="H24" s="35">
        <v>292640</v>
      </c>
      <c r="I24" s="35">
        <f>SUM(E24:H24)</f>
        <v>836116</v>
      </c>
      <c r="K24" t="s">
        <v>109</v>
      </c>
      <c r="L24" s="63" t="s">
        <v>231</v>
      </c>
    </row>
    <row r="25" spans="1:12">
      <c r="A25" s="69" t="s">
        <v>232</v>
      </c>
      <c r="B25" t="s">
        <v>233</v>
      </c>
      <c r="C25" t="s">
        <v>11</v>
      </c>
      <c r="D25" t="s">
        <v>12</v>
      </c>
      <c r="E25" s="64">
        <v>226460</v>
      </c>
      <c r="F25" s="64">
        <v>306386</v>
      </c>
      <c r="G25" s="64">
        <v>333029</v>
      </c>
      <c r="H25" s="64">
        <v>466240</v>
      </c>
      <c r="I25" s="35">
        <f>SUM(E25:H25)</f>
        <v>1332115</v>
      </c>
      <c r="K25" t="s">
        <v>183</v>
      </c>
      <c r="L25" s="63" t="s">
        <v>234</v>
      </c>
    </row>
    <row r="26" spans="1:12">
      <c r="A26" s="69" t="s">
        <v>235</v>
      </c>
      <c r="B26" t="s">
        <v>236</v>
      </c>
      <c r="C26" t="s">
        <v>11</v>
      </c>
      <c r="D26" t="s">
        <v>12</v>
      </c>
      <c r="E26" s="64">
        <v>203401</v>
      </c>
      <c r="F26" s="64">
        <v>275189</v>
      </c>
      <c r="G26" s="64">
        <v>299119</v>
      </c>
      <c r="H26" s="64">
        <v>418766</v>
      </c>
      <c r="I26" s="35">
        <f>SUM(E26:H26)</f>
        <v>1196475</v>
      </c>
      <c r="K26" t="s">
        <v>202</v>
      </c>
      <c r="L26" s="63" t="s">
        <v>237</v>
      </c>
    </row>
    <row r="27" spans="1:12">
      <c r="A27" s="69" t="s">
        <v>238</v>
      </c>
      <c r="B27" t="s">
        <v>239</v>
      </c>
      <c r="C27" t="s">
        <v>178</v>
      </c>
      <c r="D27" t="s">
        <v>179</v>
      </c>
      <c r="E27" s="64">
        <v>44181</v>
      </c>
      <c r="F27" s="64">
        <v>4418</v>
      </c>
      <c r="G27" s="64">
        <v>9278</v>
      </c>
      <c r="H27" s="64">
        <v>13254</v>
      </c>
      <c r="I27" s="35">
        <f>SUM(E27:H27)</f>
        <v>71131</v>
      </c>
      <c r="K27" t="s">
        <v>125</v>
      </c>
      <c r="L27" s="63" t="s">
        <v>240</v>
      </c>
    </row>
    <row r="28" spans="1:12">
      <c r="A28" s="69" t="s">
        <v>238</v>
      </c>
      <c r="B28" t="s">
        <v>239</v>
      </c>
      <c r="C28" t="s">
        <v>11</v>
      </c>
      <c r="D28" t="s">
        <v>15</v>
      </c>
      <c r="E28" s="64">
        <v>88361</v>
      </c>
      <c r="F28" s="64">
        <v>15021</v>
      </c>
      <c r="G28" s="64">
        <v>20323</v>
      </c>
      <c r="H28" s="64">
        <v>22090</v>
      </c>
      <c r="I28" s="35">
        <f>SUM(E28:H28)</f>
        <v>145795</v>
      </c>
      <c r="K28" t="s">
        <v>125</v>
      </c>
      <c r="L28" s="63" t="s">
        <v>240</v>
      </c>
    </row>
    <row r="29" spans="1:12">
      <c r="A29" s="69" t="s">
        <v>238</v>
      </c>
      <c r="B29" t="s">
        <v>239</v>
      </c>
      <c r="C29" t="s">
        <v>11</v>
      </c>
      <c r="D29" t="s">
        <v>26</v>
      </c>
      <c r="E29" s="64">
        <v>441806</v>
      </c>
      <c r="F29" s="64">
        <v>75107</v>
      </c>
      <c r="G29" s="64">
        <v>101615</v>
      </c>
      <c r="H29" s="64">
        <v>110451</v>
      </c>
      <c r="I29" s="35">
        <f>SUM(E29:H29)</f>
        <v>728979</v>
      </c>
      <c r="K29" t="s">
        <v>125</v>
      </c>
      <c r="L29" s="63" t="s">
        <v>240</v>
      </c>
    </row>
    <row r="30" spans="1:12">
      <c r="A30" s="69" t="s">
        <v>238</v>
      </c>
      <c r="B30" t="s">
        <v>239</v>
      </c>
      <c r="C30" t="s">
        <v>11</v>
      </c>
      <c r="D30" t="s">
        <v>12</v>
      </c>
      <c r="E30" s="64">
        <v>3534444</v>
      </c>
      <c r="F30" s="64">
        <v>600856</v>
      </c>
      <c r="G30" s="64">
        <v>812922</v>
      </c>
      <c r="H30" s="64">
        <v>883611</v>
      </c>
      <c r="I30" s="35">
        <f>SUM(E30:H30)</f>
        <v>5831833</v>
      </c>
      <c r="K30" t="s">
        <v>125</v>
      </c>
      <c r="L30" s="63" t="s">
        <v>240</v>
      </c>
    </row>
    <row r="31" spans="1:12">
      <c r="A31" s="69" t="s">
        <v>238</v>
      </c>
      <c r="B31" t="s">
        <v>239</v>
      </c>
      <c r="C31" t="s">
        <v>42</v>
      </c>
      <c r="D31" t="s">
        <v>43</v>
      </c>
      <c r="E31" s="64">
        <v>309264</v>
      </c>
      <c r="F31" s="64">
        <v>52575</v>
      </c>
      <c r="G31" s="64">
        <v>71131</v>
      </c>
      <c r="H31" s="64">
        <v>77316</v>
      </c>
      <c r="I31" s="35">
        <f>SUM(E31:H31)</f>
        <v>510286</v>
      </c>
      <c r="K31" t="s">
        <v>125</v>
      </c>
      <c r="L31" s="63" t="s">
        <v>240</v>
      </c>
    </row>
    <row r="32" spans="1:12">
      <c r="A32" s="69" t="s">
        <v>241</v>
      </c>
      <c r="B32" t="s">
        <v>242</v>
      </c>
      <c r="C32" t="s">
        <v>11</v>
      </c>
      <c r="D32" t="s">
        <v>12</v>
      </c>
      <c r="E32" s="64">
        <v>65151</v>
      </c>
      <c r="F32" s="64">
        <v>88145</v>
      </c>
      <c r="G32" s="64">
        <v>95810</v>
      </c>
      <c r="H32" s="64">
        <v>134134</v>
      </c>
      <c r="I32" s="35">
        <f>SUM(E32:H32)</f>
        <v>383240</v>
      </c>
      <c r="K32" t="s">
        <v>183</v>
      </c>
      <c r="L32" s="63" t="s">
        <v>243</v>
      </c>
    </row>
    <row r="33" spans="1:12">
      <c r="A33" s="69" t="s">
        <v>244</v>
      </c>
      <c r="B33" t="s">
        <v>245</v>
      </c>
      <c r="C33" t="s">
        <v>11</v>
      </c>
      <c r="D33" t="s">
        <v>12</v>
      </c>
      <c r="E33" s="64">
        <v>64251</v>
      </c>
      <c r="F33" s="64">
        <v>86928</v>
      </c>
      <c r="G33" s="64">
        <v>94486</v>
      </c>
      <c r="H33" s="64">
        <v>132281</v>
      </c>
      <c r="I33" s="35">
        <f>SUM(E33:H33)</f>
        <v>377946</v>
      </c>
      <c r="K33" t="s">
        <v>183</v>
      </c>
      <c r="L33" s="63" t="s">
        <v>246</v>
      </c>
    </row>
    <row r="34" spans="1:12">
      <c r="A34" s="68"/>
      <c r="C34" s="57"/>
      <c r="D34" s="57"/>
    </row>
  </sheetData>
  <autoFilter ref="A2:L34" xr:uid="{A8A97673-EF05-40E3-99CD-0DDB2104B03B}">
    <sortState xmlns:xlrd2="http://schemas.microsoft.com/office/spreadsheetml/2017/richdata2" ref="A3:L34">
      <sortCondition ref="A2:A34"/>
    </sortState>
  </autoFilter>
  <mergeCells count="1">
    <mergeCell ref="B1:H1"/>
  </mergeCells>
  <hyperlinks>
    <hyperlink ref="L4" r:id="rId1" display="3Q'26 Projections - Cybersecurity Summit Boston - 0NAY7VMB - IDENTITY" xr:uid="{EECF9D04-1FE5-4FE3-9000-F1C47F9A9595}"/>
    <hyperlink ref="L5" r:id="rId2" display="3Q'26 Projections - Cybersecurity Summit Boston - 0NAY7VMB - IDENTITY" xr:uid="{672E6BB9-A380-4CDB-9EE8-CF8B4A8AB437}"/>
    <hyperlink ref="L6" r:id="rId3" display="3Q'26 Projections - Cybersecurity Summit Dallas - J4VTX6MB - IDENTITY.xlsx" xr:uid="{0891F851-E8A0-4569-A40B-4794686420FD}"/>
    <hyperlink ref="L7" r:id="rId4" display="3Q'26 Projections - Cybersecurity Summit Dallas - J4VTX6MB - IDENTITY.xlsx" xr:uid="{B27914B6-1C13-4F32-AB57-BEE6BBBEF9E2}"/>
    <hyperlink ref="L8" r:id="rId5" display="3Q'26 Projections - Cybersecurity Summit Jacksonville - F66JXKMB - IDENTITY.xlsx" xr:uid="{CB1A6390-9136-43AE-9348-8066D44B00A1}"/>
    <hyperlink ref="L9" r:id="rId6" display="3Q'26 Projections - Cybersecurity Summit Jacksonville - F66JXKMB - IDENTITY.xlsx" xr:uid="{4460B236-E023-4B0D-BC99-F246C116EC16}"/>
    <hyperlink ref="L3" r:id="rId7" xr:uid="{216BBB11-F360-4D4C-B901-FEE4BE7E3FB4}"/>
    <hyperlink ref="L24" r:id="rId8" xr:uid="{C372759B-0311-4482-B31F-9D8A374D0801}"/>
    <hyperlink ref="L26" r:id="rId9" xr:uid="{D22262A9-95FB-47DF-AA65-8623BE5ABE6B}"/>
    <hyperlink ref="L25" r:id="rId10" xr:uid="{3CD870BE-FF9E-4C6E-9EDA-262E8594B92F}"/>
    <hyperlink ref="L11" r:id="rId11" xr:uid="{F0002E68-C01A-4DB4-A426-ACD9C130A5B3}"/>
    <hyperlink ref="L14" r:id="rId12" xr:uid="{4640AD43-16BB-4BD9-8DF4-D2275F320CE1}"/>
    <hyperlink ref="L12:L15" r:id="rId13" display="4Q'26 Projections - Gartner IT Infrastructure and Operations US 2026 - IJAFKZMB - DEVOPS" xr:uid="{F34EAF52-93F9-40F4-8F65-57BB3715F3AC}"/>
    <hyperlink ref="L27" r:id="rId14" xr:uid="{284E3151-0489-412A-B9D8-B80C8F8594FF}"/>
    <hyperlink ref="L23:L26" r:id="rId15" display="4Q'26 Projections - KubeCon + CloudNativeCon US 2026 - 3147DEMB - DEVOPS" xr:uid="{EDB93551-0ECD-4FA5-8B7B-E090B5FED1D1}"/>
    <hyperlink ref="L32" r:id="rId16" xr:uid="{CEAB1E4A-468F-4192-9D28-6DBB55AB8744}"/>
    <hyperlink ref="L33" r:id="rId17" xr:uid="{42FAD210-74BF-429A-A73C-3D9D43AD17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5964-A964-0541-B96E-E86F780712DE}">
  <dimension ref="A1:B47"/>
  <sheetViews>
    <sheetView zoomScaleNormal="100" workbookViewId="0"/>
  </sheetViews>
  <sheetFormatPr defaultColWidth="10.875" defaultRowHeight="21.95" customHeight="1"/>
  <cols>
    <col min="1" max="1" width="33.5" style="4" bestFit="1" customWidth="1"/>
    <col min="2" max="2" width="47.625" style="2" bestFit="1" customWidth="1"/>
    <col min="3" max="16384" width="10.875" style="2"/>
  </cols>
  <sheetData>
    <row r="1" spans="1:2" ht="21.95" customHeight="1">
      <c r="A1" s="1" t="s">
        <v>3</v>
      </c>
      <c r="B1" s="1" t="s">
        <v>4</v>
      </c>
    </row>
    <row r="2" spans="1:2" ht="21.95" customHeight="1">
      <c r="A2" s="90" t="s">
        <v>11</v>
      </c>
      <c r="B2" s="2" t="s">
        <v>15</v>
      </c>
    </row>
    <row r="3" spans="1:2" ht="21.95" customHeight="1">
      <c r="A3" s="90"/>
      <c r="B3" s="2" t="s">
        <v>26</v>
      </c>
    </row>
    <row r="4" spans="1:2" ht="21.95" customHeight="1">
      <c r="A4" s="90"/>
      <c r="B4" s="2" t="s">
        <v>247</v>
      </c>
    </row>
    <row r="5" spans="1:2" ht="21.95" customHeight="1">
      <c r="A5" s="91"/>
      <c r="B5" s="3" t="s">
        <v>12</v>
      </c>
    </row>
    <row r="6" spans="1:2" ht="21.95" customHeight="1">
      <c r="A6" s="90" t="s">
        <v>42</v>
      </c>
      <c r="B6" s="2" t="s">
        <v>43</v>
      </c>
    </row>
    <row r="7" spans="1:2" ht="21.95" customHeight="1">
      <c r="A7" s="90"/>
      <c r="B7" s="2" t="s">
        <v>44</v>
      </c>
    </row>
    <row r="8" spans="1:2" ht="21.95" customHeight="1">
      <c r="A8" s="91"/>
      <c r="B8" s="3" t="s">
        <v>45</v>
      </c>
    </row>
    <row r="9" spans="1:2" ht="21.95" customHeight="1">
      <c r="A9" s="90" t="s">
        <v>248</v>
      </c>
      <c r="B9" s="2" t="s">
        <v>249</v>
      </c>
    </row>
    <row r="10" spans="1:2" ht="21.95" customHeight="1">
      <c r="A10" s="90"/>
      <c r="B10" s="2" t="s">
        <v>250</v>
      </c>
    </row>
    <row r="11" spans="1:2" ht="21.95" customHeight="1">
      <c r="A11" s="91"/>
      <c r="B11" s="3" t="s">
        <v>251</v>
      </c>
    </row>
    <row r="12" spans="1:2" ht="21.95" customHeight="1">
      <c r="A12" s="90" t="s">
        <v>215</v>
      </c>
      <c r="B12" s="2" t="s">
        <v>216</v>
      </c>
    </row>
    <row r="13" spans="1:2" ht="21.95" customHeight="1">
      <c r="A13" s="90"/>
      <c r="B13" s="2" t="s">
        <v>252</v>
      </c>
    </row>
    <row r="14" spans="1:2" ht="21.95" customHeight="1">
      <c r="A14" s="91"/>
      <c r="B14" s="3" t="s">
        <v>253</v>
      </c>
    </row>
    <row r="15" spans="1:2" ht="21.95" customHeight="1">
      <c r="A15" s="86" t="s">
        <v>254</v>
      </c>
      <c r="B15" s="3" t="s">
        <v>255</v>
      </c>
    </row>
    <row r="16" spans="1:2" ht="21.95" customHeight="1">
      <c r="A16" s="90" t="s">
        <v>256</v>
      </c>
      <c r="B16" s="2" t="s">
        <v>257</v>
      </c>
    </row>
    <row r="17" spans="1:2" ht="21.95" customHeight="1">
      <c r="A17" s="90"/>
      <c r="B17" s="2" t="s">
        <v>258</v>
      </c>
    </row>
    <row r="18" spans="1:2" ht="21.95" customHeight="1">
      <c r="A18" s="90"/>
      <c r="B18" s="2" t="s">
        <v>259</v>
      </c>
    </row>
    <row r="19" spans="1:2" ht="21.95" customHeight="1">
      <c r="A19" s="91"/>
      <c r="B19" s="3" t="s">
        <v>260</v>
      </c>
    </row>
    <row r="20" spans="1:2" ht="21.95" customHeight="1">
      <c r="A20" s="86" t="s">
        <v>261</v>
      </c>
      <c r="B20" s="3" t="s">
        <v>262</v>
      </c>
    </row>
    <row r="21" spans="1:2" ht="21.95" customHeight="1">
      <c r="A21" s="90" t="s">
        <v>18</v>
      </c>
      <c r="B21" s="2" t="s">
        <v>263</v>
      </c>
    </row>
    <row r="22" spans="1:2" ht="21.95" customHeight="1">
      <c r="A22" s="90"/>
      <c r="B22" s="2" t="s">
        <v>19</v>
      </c>
    </row>
    <row r="23" spans="1:2" ht="21.95" customHeight="1">
      <c r="A23" s="91"/>
      <c r="B23" s="3" t="s">
        <v>41</v>
      </c>
    </row>
    <row r="24" spans="1:2" ht="21.95" customHeight="1">
      <c r="A24" s="90" t="s">
        <v>178</v>
      </c>
      <c r="B24" s="2" t="s">
        <v>264</v>
      </c>
    </row>
    <row r="25" spans="1:2" ht="21.95" customHeight="1">
      <c r="A25" s="90"/>
      <c r="B25" s="2" t="s">
        <v>265</v>
      </c>
    </row>
    <row r="26" spans="1:2" ht="21.95" customHeight="1">
      <c r="A26" s="90"/>
      <c r="B26" s="2" t="s">
        <v>266</v>
      </c>
    </row>
    <row r="27" spans="1:2" ht="21.95" customHeight="1">
      <c r="A27" s="90"/>
      <c r="B27" s="2" t="s">
        <v>267</v>
      </c>
    </row>
    <row r="28" spans="1:2" ht="21.95" customHeight="1">
      <c r="A28" s="90"/>
      <c r="B28" s="2" t="s">
        <v>268</v>
      </c>
    </row>
    <row r="29" spans="1:2" ht="21.95" customHeight="1">
      <c r="A29" s="90"/>
      <c r="B29" s="2" t="s">
        <v>269</v>
      </c>
    </row>
    <row r="30" spans="1:2" ht="21.95" customHeight="1">
      <c r="A30" s="90"/>
      <c r="B30" s="2" t="s">
        <v>270</v>
      </c>
    </row>
    <row r="31" spans="1:2" ht="21.95" customHeight="1">
      <c r="A31" s="91"/>
      <c r="B31" s="3" t="s">
        <v>271</v>
      </c>
    </row>
    <row r="32" spans="1:2" ht="21.95" customHeight="1">
      <c r="A32" s="90" t="s">
        <v>272</v>
      </c>
      <c r="B32" s="2" t="s">
        <v>273</v>
      </c>
    </row>
    <row r="33" spans="1:2" ht="21.95" customHeight="1">
      <c r="A33" s="90"/>
      <c r="B33" s="2" t="s">
        <v>274</v>
      </c>
    </row>
    <row r="34" spans="1:2" ht="21.95" customHeight="1">
      <c r="A34" s="90"/>
      <c r="B34" s="2" t="s">
        <v>275</v>
      </c>
    </row>
    <row r="35" spans="1:2" ht="21.95" customHeight="1">
      <c r="A35" s="90"/>
      <c r="B35" s="2" t="s">
        <v>276</v>
      </c>
    </row>
    <row r="36" spans="1:2" ht="21.95" customHeight="1">
      <c r="A36" s="90"/>
      <c r="B36" s="2" t="s">
        <v>277</v>
      </c>
    </row>
    <row r="37" spans="1:2" ht="21.95" customHeight="1">
      <c r="A37" s="90"/>
      <c r="B37" s="2" t="s">
        <v>278</v>
      </c>
    </row>
    <row r="38" spans="1:2" ht="21.95" customHeight="1">
      <c r="A38" s="90"/>
      <c r="B38" s="2" t="s">
        <v>279</v>
      </c>
    </row>
    <row r="39" spans="1:2" ht="21.95" customHeight="1">
      <c r="A39" s="91"/>
      <c r="B39" s="3" t="s">
        <v>280</v>
      </c>
    </row>
    <row r="40" spans="1:2" ht="21.95" customHeight="1">
      <c r="A40" s="86" t="s">
        <v>281</v>
      </c>
      <c r="B40" s="3" t="s">
        <v>282</v>
      </c>
    </row>
    <row r="41" spans="1:2" ht="21.95" customHeight="1">
      <c r="A41" s="90" t="s">
        <v>283</v>
      </c>
      <c r="B41" s="2" t="s">
        <v>284</v>
      </c>
    </row>
    <row r="42" spans="1:2" ht="21.95" customHeight="1">
      <c r="A42" s="91"/>
      <c r="B42" s="3" t="s">
        <v>285</v>
      </c>
    </row>
    <row r="43" spans="1:2" ht="21.95" customHeight="1">
      <c r="A43" s="90" t="s">
        <v>218</v>
      </c>
      <c r="B43" s="2" t="s">
        <v>219</v>
      </c>
    </row>
    <row r="44" spans="1:2" ht="21.95" customHeight="1">
      <c r="A44" s="91"/>
      <c r="B44" s="3" t="s">
        <v>286</v>
      </c>
    </row>
    <row r="45" spans="1:2" ht="21.95" customHeight="1">
      <c r="A45" s="90" t="s">
        <v>287</v>
      </c>
      <c r="B45" s="2" t="s">
        <v>288</v>
      </c>
    </row>
    <row r="46" spans="1:2" ht="21.95" customHeight="1">
      <c r="A46" s="90"/>
      <c r="B46" s="2" t="s">
        <v>289</v>
      </c>
    </row>
    <row r="47" spans="1:2" ht="21.95" customHeight="1">
      <c r="A47" s="91"/>
      <c r="B47" s="3" t="s">
        <v>290</v>
      </c>
    </row>
  </sheetData>
  <mergeCells count="11">
    <mergeCell ref="A21:A23"/>
    <mergeCell ref="A2:A5"/>
    <mergeCell ref="A6:A8"/>
    <mergeCell ref="A9:A11"/>
    <mergeCell ref="A12:A14"/>
    <mergeCell ref="A16:A19"/>
    <mergeCell ref="A24:A31"/>
    <mergeCell ref="A32:A39"/>
    <mergeCell ref="A41:A42"/>
    <mergeCell ref="A43:A44"/>
    <mergeCell ref="A45:A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4621-F791-44F9-897F-0622B3EC471B}">
  <dimension ref="A1:E5"/>
  <sheetViews>
    <sheetView workbookViewId="0">
      <selection activeCell="D7" sqref="D7"/>
    </sheetView>
  </sheetViews>
  <sheetFormatPr defaultColWidth="8.875" defaultRowHeight="15.95"/>
  <cols>
    <col min="1" max="1" width="24.875" customWidth="1"/>
  </cols>
  <sheetData>
    <row r="1" spans="1:5">
      <c r="A1" s="8"/>
      <c r="B1" s="92" t="s">
        <v>291</v>
      </c>
      <c r="C1" s="92"/>
      <c r="D1" s="92"/>
      <c r="E1" s="92"/>
    </row>
    <row r="2" spans="1:5">
      <c r="A2" s="9"/>
      <c r="B2" s="10" t="s">
        <v>5</v>
      </c>
      <c r="C2" s="10" t="s">
        <v>292</v>
      </c>
      <c r="D2" s="10" t="s">
        <v>7</v>
      </c>
      <c r="E2" s="10" t="s">
        <v>8</v>
      </c>
    </row>
    <row r="3" spans="1:5">
      <c r="A3" s="11" t="s">
        <v>293</v>
      </c>
      <c r="B3" s="12">
        <v>0.17</v>
      </c>
      <c r="C3" s="12">
        <v>0.23</v>
      </c>
      <c r="D3" s="12">
        <v>0.25</v>
      </c>
      <c r="E3" s="12">
        <v>0.35</v>
      </c>
    </row>
    <row r="4" spans="1:5">
      <c r="A4" s="11" t="s">
        <v>294</v>
      </c>
      <c r="B4" s="12">
        <v>0.1</v>
      </c>
      <c r="C4" s="12">
        <v>0.21</v>
      </c>
      <c r="D4" s="12">
        <v>0.3</v>
      </c>
      <c r="E4" s="12">
        <v>0.39</v>
      </c>
    </row>
    <row r="5" spans="1:5">
      <c r="A5" s="11" t="s">
        <v>295</v>
      </c>
      <c r="B5" s="12">
        <v>0.05</v>
      </c>
      <c r="C5" s="12">
        <v>0.15</v>
      </c>
      <c r="D5" s="12">
        <v>0.2</v>
      </c>
      <c r="E5" s="12">
        <v>0.6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232e1f-123a-43d1-921b-7c05729cf1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4C29C17E9AEA4CB48B504ECDD326F6" ma:contentTypeVersion="13" ma:contentTypeDescription="Create a new document." ma:contentTypeScope="" ma:versionID="bbcee55541c60a67ae91fde6cd5b9535">
  <xsd:schema xmlns:xsd="http://www.w3.org/2001/XMLSchema" xmlns:xs="http://www.w3.org/2001/XMLSchema" xmlns:p="http://schemas.microsoft.com/office/2006/metadata/properties" xmlns:ns3="e0232e1f-123a-43d1-921b-7c05729cf17c" targetNamespace="http://schemas.microsoft.com/office/2006/metadata/properties" ma:root="true" ma:fieldsID="a4621de01236b0f54131317d0d7f10a2" ns3:_="">
    <xsd:import namespace="e0232e1f-123a-43d1-921b-7c05729cf1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32e1f-123a-43d1-921b-7c05729cf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8C4767-4D22-45B1-BCBF-E6BA997C4D9A}"/>
</file>

<file path=customXml/itemProps2.xml><?xml version="1.0" encoding="utf-8"?>
<ds:datastoreItem xmlns:ds="http://schemas.openxmlformats.org/officeDocument/2006/customXml" ds:itemID="{56308CB8-6F41-47A1-A7FA-F6896EEA67B8}"/>
</file>

<file path=customXml/itemProps3.xml><?xml version="1.0" encoding="utf-8"?>
<ds:datastoreItem xmlns:ds="http://schemas.openxmlformats.org/officeDocument/2006/customXml" ds:itemID="{72985BAC-01DD-4D79-81D2-7D306B72E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ERK</dc:creator>
  <cp:keywords/>
  <dc:description/>
  <cp:lastModifiedBy>ANDIDIONG AKPE</cp:lastModifiedBy>
  <cp:revision/>
  <dcterms:created xsi:type="dcterms:W3CDTF">2026-02-19T16:21:33Z</dcterms:created>
  <dcterms:modified xsi:type="dcterms:W3CDTF">2026-07-28T14:23:50Z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0x010100F94C29C17E9AEA4CB48B504ECDD326F6</vt:lpwstr>
  </property>
</Properties>
</file>