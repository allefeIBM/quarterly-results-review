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jennifer_martinson1_ibm_com/Documents/Martinson files One Drive IBM/Metrics/KPI Entries/Q2 KPI Projections/"/>
    </mc:Choice>
  </mc:AlternateContent>
  <xr:revisionPtr revIDLastSave="250" documentId="8_{9C02C3FF-8930-4135-86F1-74362E7CBAA7}" xr6:coauthVersionLast="47" xr6:coauthVersionMax="47" xr10:uidLastSave="{F6FC24EE-2256-414B-8F16-A885A06CBC82}"/>
  <bookViews>
    <workbookView xWindow="9816" yWindow="456" windowWidth="13224" windowHeight="13224" firstSheet="1" activeTab="1" xr2:uid="{34DAB5B8-0534-154D-B765-6F9AFE0242E3}"/>
  </bookViews>
  <sheets>
    <sheet name="Q2 Projections" sheetId="2" r:id="rId1"/>
    <sheet name="Q3 Projections" sheetId="4" r:id="rId2"/>
    <sheet name="Q4 Projections" sheetId="5" r:id="rId3"/>
    <sheet name="Options for KPI UT Levels" sheetId="1" r:id="rId4"/>
    <sheet name="Sheet1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4" l="1"/>
  <c r="I10" i="4"/>
  <c r="I11" i="4"/>
  <c r="I18" i="4"/>
  <c r="I8" i="5"/>
  <c r="I5" i="5"/>
  <c r="I15" i="5"/>
  <c r="I12" i="4"/>
  <c r="I11" i="5"/>
  <c r="I10" i="5"/>
  <c r="I14" i="5"/>
  <c r="I9" i="5"/>
  <c r="I7" i="5"/>
  <c r="I6" i="5"/>
  <c r="I4" i="5"/>
  <c r="I3" i="5"/>
  <c r="I13" i="4"/>
  <c r="I4" i="4"/>
  <c r="I5" i="4"/>
  <c r="I6" i="4"/>
  <c r="I7" i="4"/>
  <c r="I8" i="4"/>
  <c r="I9" i="4"/>
  <c r="I3" i="4"/>
  <c r="I11" i="2"/>
  <c r="I10" i="2"/>
  <c r="I4" i="2"/>
  <c r="I5" i="2"/>
  <c r="I6" i="2"/>
  <c r="I7" i="2"/>
  <c r="I8" i="2"/>
  <c r="I9" i="2"/>
  <c r="I3" i="2"/>
</calcChain>
</file>

<file path=xl/sharedStrings.xml><?xml version="1.0" encoding="utf-8"?>
<sst xmlns="http://schemas.openxmlformats.org/spreadsheetml/2006/main" count="232" uniqueCount="143">
  <si>
    <t>US Horizon Market Q2 KPI Projections</t>
  </si>
  <si>
    <t>Event name</t>
  </si>
  <si>
    <t>Brief</t>
  </si>
  <si>
    <t>UT 15</t>
  </si>
  <si>
    <t>UT 17</t>
  </si>
  <si>
    <t>CQ</t>
  </si>
  <si>
    <t>NQ</t>
  </si>
  <si>
    <t>NQ+1</t>
  </si>
  <si>
    <t>NQ+2</t>
  </si>
  <si>
    <t>Total</t>
  </si>
  <si>
    <t>Economist Roadshow - South East - Atlanta</t>
  </si>
  <si>
    <t>61N83XMB</t>
  </si>
  <si>
    <t>Data Platform</t>
  </si>
  <si>
    <t>AI Productivity</t>
  </si>
  <si>
    <t>Minne Analytics Data Tech 2026</t>
  </si>
  <si>
    <t>B74GX0MB</t>
  </si>
  <si>
    <t>Arizona Digital Government Summit  &amp; Roundtable 2026</t>
  </si>
  <si>
    <t>XRCIW6MB</t>
  </si>
  <si>
    <t>Data Fabric</t>
  </si>
  <si>
    <t>Economist Roadshow - Midwest - Chicago</t>
  </si>
  <si>
    <t>PHR7QQMB</t>
  </si>
  <si>
    <t>Tech Talk Houston Dinner</t>
  </si>
  <si>
    <t>O6EAD6MB</t>
  </si>
  <si>
    <t>Automation Platform</t>
  </si>
  <si>
    <t>Technology Business Management</t>
  </si>
  <si>
    <t>North Dakota Digital Government Summit &amp; Roundtable 2026</t>
  </si>
  <si>
    <t>LWGPTXMB</t>
  </si>
  <si>
    <t>Tech Talk Austin CXO Summit</t>
  </si>
  <si>
    <t>2NNNWHMB</t>
  </si>
  <si>
    <t>Hawaii Data &amp; AI Summit</t>
  </si>
  <si>
    <t>OQPMLHMB</t>
  </si>
  <si>
    <t>AI Fan Experience - South Florida Reception</t>
  </si>
  <si>
    <t>Y6XAGLMB</t>
  </si>
  <si>
    <t>US Horizon Market Q3 2026 KPI Projections</t>
  </si>
  <si>
    <t>Economist Roadshow - West Coast - San Francisco</t>
  </si>
  <si>
    <t>JFO32ZMB</t>
  </si>
  <si>
    <t>Kansas Digital Government Summit 2026</t>
  </si>
  <si>
    <t>KHVPXRMB</t>
  </si>
  <si>
    <t>Colorado Digital Government Summit &amp; Roundtable 2026</t>
  </si>
  <si>
    <t>Y49G09MB</t>
  </si>
  <si>
    <t>Economist Roadshow - Dallas</t>
  </si>
  <si>
    <t>PDECZUMB</t>
  </si>
  <si>
    <t>Hawaii Digital Government Summit 2026</t>
  </si>
  <si>
    <t>YJVQ9AMB</t>
  </si>
  <si>
    <t>Mississippi Digital Government Summit &amp; Roundtable  2026</t>
  </si>
  <si>
    <t>KU27VPMB</t>
  </si>
  <si>
    <t>Massachusetts Digital Government Summit 2026</t>
  </si>
  <si>
    <t>F8X9OUMB</t>
  </si>
  <si>
    <t>World Cup Viewing Event - NYC</t>
  </si>
  <si>
    <t>86WCVVMB</t>
  </si>
  <si>
    <t>Summer Pickleball Event - MN</t>
  </si>
  <si>
    <t>Y0E59EMB</t>
  </si>
  <si>
    <t>Nebraska Data and AI Summit</t>
  </si>
  <si>
    <t>B2N9XAMB</t>
  </si>
  <si>
    <t>Louisiana Digital Government Summit 2026</t>
  </si>
  <si>
    <t>X44X1TMB</t>
  </si>
  <si>
    <t>Argyle CFO Dinner - Minneapolis</t>
  </si>
  <si>
    <t>CYXDI8MB</t>
  </si>
  <si>
    <t>Application Development &amp; Integration</t>
  </si>
  <si>
    <t>HMG Strategy  C-Level Technology Leadership Summit - Chicago</t>
  </si>
  <si>
    <t>NOT funded yet</t>
  </si>
  <si>
    <t>US Horizon Market Q4 2026 KPI Projections</t>
  </si>
  <si>
    <t>Iowa Digital Government Summit &amp; Roundtable 2026</t>
  </si>
  <si>
    <t>IHCZ0HMB</t>
  </si>
  <si>
    <t>Indiana Digital Government Summit &amp; Roundtable 2026</t>
  </si>
  <si>
    <t>8TZOWMMB</t>
  </si>
  <si>
    <t>HMG Strategy  C-Level Technology Leadership Summit - Silicon Valley</t>
  </si>
  <si>
    <t>J7A5DNMB</t>
  </si>
  <si>
    <t>Arkansas Digital Government Summit 2026</t>
  </si>
  <si>
    <t>CKZ0XBMB</t>
  </si>
  <si>
    <t>West Virginia Digital Government Summit &amp; Roundtable 2026</t>
  </si>
  <si>
    <t>7R417DMB</t>
  </si>
  <si>
    <t>HMG Strategy  C-Level Technology Leadership Summit - Denver</t>
  </si>
  <si>
    <t>J2Z7OMMB</t>
  </si>
  <si>
    <t>Alabama Digital Government Summit &amp; Roundtable 2026</t>
  </si>
  <si>
    <t>OOVZJWMB</t>
  </si>
  <si>
    <t>Wisconsin Digital Government Summit &amp; Roundtable2026</t>
  </si>
  <si>
    <t>96XOHBMB</t>
  </si>
  <si>
    <t>Nevada Digital Government Summit &amp; Roundtable 2026</t>
  </si>
  <si>
    <t>UTDLR3MB</t>
  </si>
  <si>
    <t>Oklahoma Digital Government Summit 2026 (DGS Cancelled this , in IPA I have put 0 for KPI's</t>
  </si>
  <si>
    <t>YYO6C2MB</t>
  </si>
  <si>
    <t>HMG Strategy  C-Level Technology Leadership Summit - Southern California (not approved yet)</t>
  </si>
  <si>
    <t>2PQI75MB</t>
  </si>
  <si>
    <t>Infrastructure Automation</t>
  </si>
  <si>
    <t>Security Threat Management</t>
  </si>
  <si>
    <t>AI/ML Ops</t>
  </si>
  <si>
    <t>Intelligent Operations</t>
  </si>
  <si>
    <t>Application Operations</t>
  </si>
  <si>
    <t>Business Operations</t>
  </si>
  <si>
    <t>Cybersecurity</t>
  </si>
  <si>
    <t>Power HW</t>
  </si>
  <si>
    <t>AIX / IBM i Market</t>
  </si>
  <si>
    <t>Cognitive Infrastructure Market</t>
  </si>
  <si>
    <t>Enterprise Linux Market</t>
  </si>
  <si>
    <t>Power TPS</t>
  </si>
  <si>
    <t>Power TPS Market</t>
  </si>
  <si>
    <t>Public Cloud Platform</t>
  </si>
  <si>
    <t>Public Cloud Contracts</t>
  </si>
  <si>
    <t>Public Cloud IaaS</t>
  </si>
  <si>
    <t>Public Cloud PaaS</t>
  </si>
  <si>
    <t>Public Cloud TEL &amp; Support</t>
  </si>
  <si>
    <t>Quantum</t>
  </si>
  <si>
    <t>Quantum Market</t>
  </si>
  <si>
    <t>Strategy &amp; Technology</t>
  </si>
  <si>
    <t>Business Applications</t>
  </si>
  <si>
    <t>Hybrid Cloud &amp; Data</t>
  </si>
  <si>
    <t>Strategy &amp; Transformation</t>
  </si>
  <si>
    <t>Storage HW</t>
  </si>
  <si>
    <t>Storage Networking Market</t>
  </si>
  <si>
    <t>Storage Operations / Services Market</t>
  </si>
  <si>
    <t>Storage Tape Market</t>
  </si>
  <si>
    <t>Storage for Data Resiliency Market</t>
  </si>
  <si>
    <t>Storage for Data and AI Market</t>
  </si>
  <si>
    <t>Storage for Hybrid Cloud Market</t>
  </si>
  <si>
    <t>Storage for Primary Block Market</t>
  </si>
  <si>
    <t>Traditional Distributed External Storage Market</t>
  </si>
  <si>
    <t>Storage TPS</t>
  </si>
  <si>
    <t>Storage Networking SW Market</t>
  </si>
  <si>
    <t>Storage Operations / Services SW Market</t>
  </si>
  <si>
    <t>Storage Tape SW Market</t>
  </si>
  <si>
    <t>Storage for Data Resiliency SW Market</t>
  </si>
  <si>
    <t>Storage for Data and AI SW Market</t>
  </si>
  <si>
    <t>Storage for Hybrid Cloud SW Market</t>
  </si>
  <si>
    <t>Storage for Primary Block SW Market</t>
  </si>
  <si>
    <t>Traditional Distributed External Storage SW Market</t>
  </si>
  <si>
    <t>Talent Management Solutions</t>
  </si>
  <si>
    <t>Cognitive Talent Management</t>
  </si>
  <si>
    <t>Technology Lifecycle Services</t>
  </si>
  <si>
    <t>IBM Systems Services</t>
  </si>
  <si>
    <t>Multivendor Services</t>
  </si>
  <si>
    <t>Z HW</t>
  </si>
  <si>
    <t>IBM Z and LinuxONE Hardware</t>
  </si>
  <si>
    <t>System Software HW</t>
  </si>
  <si>
    <t>Z TPS</t>
  </si>
  <si>
    <t>Z Application Development</t>
  </si>
  <si>
    <t>Z IT Operations Management</t>
  </si>
  <si>
    <t>zTPS Operations / Services Market</t>
  </si>
  <si>
    <t>2025 Landing Qtr Average</t>
  </si>
  <si>
    <t xml:space="preserve">NQ </t>
  </si>
  <si>
    <t>Software</t>
  </si>
  <si>
    <t>Infrastructure</t>
  </si>
  <si>
    <t>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</si>
</sst>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2">
    <font>
      <sz val="12"/>
      <color theme="1"/>
      <name val="Aptos Narrow"/>
      <family val="2"/>
      <scheme val="minor"/>
    </font>
    <font>
      <sz val="12"/>
      <color theme="1"/>
      <name val="IBM Plex Sans"/>
      <family val="2"/>
    </font>
    <font>
      <sz val="14"/>
      <color theme="1"/>
      <name val="IBM Plex Sans"/>
      <family val="2"/>
    </font>
    <font>
      <u/>
      <sz val="14"/>
      <color theme="1"/>
      <name val="IBM Plex Sans"/>
      <family val="2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name val="Tahoma"/>
      <family val="2"/>
    </font>
    <font>
      <sz val="10"/>
      <color theme="0"/>
      <name val="Tahoma"/>
      <family val="2"/>
    </font>
    <font>
      <sz val="10"/>
      <color rgb="FF000000"/>
      <name val="Tahoma"/>
      <family val="2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0"/>
      <color rgb="FFFF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2" xfId="0" applyBorder="1"/>
    <xf numFmtId="0" fontId="5" fillId="3" borderId="2" xfId="0" applyFont="1" applyFill="1" applyBorder="1"/>
    <xf numFmtId="0" fontId="4" fillId="0" borderId="2" xfId="0" applyFont="1" applyBorder="1"/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7" fillId="4" borderId="3" xfId="0" applyFont="1" applyFill="1" applyBorder="1" applyAlignment="1">
      <alignment horizontal="right" vertical="center"/>
    </xf>
    <xf numFmtId="0" fontId="0" fillId="5" borderId="0" xfId="0" applyFill="1" applyAlignment="1">
      <alignment horizontal="right"/>
    </xf>
    <xf numFmtId="9" fontId="0" fillId="5" borderId="0" xfId="0" applyNumberFormat="1" applyFill="1"/>
    <xf numFmtId="6" fontId="5" fillId="3" borderId="2" xfId="0" applyNumberFormat="1" applyFont="1" applyFill="1" applyBorder="1"/>
    <xf numFmtId="6" fontId="8" fillId="0" borderId="4" xfId="0" applyNumberFormat="1" applyFont="1" applyFill="1" applyBorder="1" applyAlignment="1"/>
    <xf numFmtId="0" fontId="0" fillId="0" borderId="5" xfId="0" applyBorder="1"/>
    <xf numFmtId="0" fontId="0" fillId="0" borderId="6" xfId="0" applyBorder="1"/>
    <xf numFmtId="0" fontId="4" fillId="0" borderId="7" xfId="0" applyFont="1" applyBorder="1"/>
    <xf numFmtId="0" fontId="9" fillId="0" borderId="2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6" xfId="0" applyFont="1" applyBorder="1"/>
    <xf numFmtId="0" fontId="9" fillId="0" borderId="9" xfId="0" applyFont="1" applyBorder="1"/>
    <xf numFmtId="0" fontId="0" fillId="0" borderId="8" xfId="0" applyBorder="1"/>
    <xf numFmtId="6" fontId="0" fillId="6" borderId="11" xfId="0" applyNumberFormat="1" applyFill="1" applyBorder="1"/>
    <xf numFmtId="0" fontId="0" fillId="6" borderId="2" xfId="0" applyFill="1" applyBorder="1"/>
    <xf numFmtId="0" fontId="9" fillId="6" borderId="2" xfId="0" applyFont="1" applyFill="1" applyBorder="1"/>
    <xf numFmtId="6" fontId="9" fillId="6" borderId="11" xfId="0" applyNumberFormat="1" applyFont="1" applyFill="1" applyBorder="1"/>
    <xf numFmtId="6" fontId="9" fillId="6" borderId="10" xfId="0" applyNumberFormat="1" applyFont="1" applyFill="1" applyBorder="1"/>
    <xf numFmtId="0" fontId="0" fillId="5" borderId="2" xfId="0" applyFill="1" applyBorder="1"/>
    <xf numFmtId="6" fontId="8" fillId="5" borderId="4" xfId="0" applyNumberFormat="1" applyFont="1" applyFill="1" applyBorder="1" applyAlignment="1"/>
    <xf numFmtId="6" fontId="9" fillId="5" borderId="4" xfId="0" applyNumberFormat="1" applyFont="1" applyFill="1" applyBorder="1"/>
    <xf numFmtId="0" fontId="0" fillId="5" borderId="5" xfId="0" applyFill="1" applyBorder="1"/>
    <xf numFmtId="6" fontId="8" fillId="0" borderId="12" xfId="0" applyNumberFormat="1" applyFont="1" applyFill="1" applyBorder="1" applyAlignment="1"/>
    <xf numFmtId="6" fontId="8" fillId="6" borderId="12" xfId="0" applyNumberFormat="1" applyFont="1" applyFill="1" applyBorder="1" applyAlignment="1"/>
    <xf numFmtId="6" fontId="9" fillId="6" borderId="13" xfId="0" applyNumberFormat="1" applyFont="1" applyFill="1" applyBorder="1"/>
    <xf numFmtId="0" fontId="0" fillId="0" borderId="14" xfId="0" applyBorder="1"/>
    <xf numFmtId="0" fontId="0" fillId="0" borderId="4" xfId="0" applyFill="1" applyBorder="1"/>
    <xf numFmtId="6" fontId="0" fillId="0" borderId="4" xfId="0" applyNumberFormat="1" applyFill="1" applyBorder="1"/>
    <xf numFmtId="0" fontId="9" fillId="0" borderId="4" xfId="0" applyFont="1" applyFill="1" applyBorder="1"/>
    <xf numFmtId="0" fontId="0" fillId="0" borderId="4" xfId="0" applyBorder="1"/>
    <xf numFmtId="0" fontId="0" fillId="0" borderId="0" xfId="0" applyAlignment="1">
      <alignment wrapText="1"/>
    </xf>
    <xf numFmtId="0" fontId="8" fillId="0" borderId="0" xfId="0" applyFont="1" applyFill="1" applyBorder="1" applyAlignment="1"/>
    <xf numFmtId="6" fontId="8" fillId="0" borderId="0" xfId="0" applyNumberFormat="1" applyFont="1" applyFill="1" applyBorder="1" applyAlignment="1"/>
    <xf numFmtId="0" fontId="0" fillId="7" borderId="4" xfId="0" applyFill="1" applyBorder="1"/>
    <xf numFmtId="0" fontId="9" fillId="7" borderId="4" xfId="0" applyFont="1" applyFill="1" applyBorder="1"/>
    <xf numFmtId="0" fontId="10" fillId="0" borderId="0" xfId="0" applyFont="1" applyAlignment="1">
      <alignment wrapText="1"/>
    </xf>
    <xf numFmtId="0" fontId="10" fillId="0" borderId="4" xfId="0" applyFont="1" applyBorder="1"/>
    <xf numFmtId="0" fontId="11" fillId="0" borderId="0" xfId="0" applyFont="1" applyFill="1" applyBorder="1" applyAlignment="1"/>
    <xf numFmtId="6" fontId="11" fillId="0" borderId="0" xfId="0" applyNumberFormat="1" applyFont="1" applyFill="1" applyBorder="1" applyAlignment="1"/>
    <xf numFmtId="6" fontId="10" fillId="0" borderId="4" xfId="0" applyNumberFormat="1" applyFont="1" applyFill="1" applyBorder="1"/>
    <xf numFmtId="0" fontId="10" fillId="0" borderId="0" xfId="0" applyFont="1"/>
    <xf numFmtId="0" fontId="0" fillId="0" borderId="0" xfId="0" applyFill="1"/>
    <xf numFmtId="0" fontId="10" fillId="0" borderId="0" xfId="0" applyFont="1" applyFill="1"/>
    <xf numFmtId="0" fontId="10" fillId="0" borderId="4" xfId="0" applyFont="1" applyFill="1" applyBorder="1"/>
    <xf numFmtId="6" fontId="11" fillId="0" borderId="4" xfId="0" applyNumberFormat="1" applyFont="1" applyFill="1" applyBorder="1" applyAlignment="1"/>
    <xf numFmtId="0" fontId="0" fillId="7" borderId="0" xfId="0" applyFill="1"/>
    <xf numFmtId="0" fontId="9" fillId="0" borderId="0" xfId="0" applyFont="1" applyFill="1"/>
    <xf numFmtId="6" fontId="9" fillId="0" borderId="4" xfId="0" applyNumberFormat="1" applyFont="1" applyFill="1" applyBorder="1"/>
    <xf numFmtId="0" fontId="9" fillId="2" borderId="0" xfId="0" applyFont="1" applyFill="1"/>
    <xf numFmtId="0" fontId="0" fillId="2" borderId="0" xfId="0" applyFill="1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6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9637-199A-4342-94B6-656FD616A422}">
  <sheetPr>
    <tabColor rgb="FFFFC000"/>
  </sheetPr>
  <dimension ref="A1:J12"/>
  <sheetViews>
    <sheetView workbookViewId="0">
      <selection activeCell="C11" sqref="C11:H11"/>
    </sheetView>
  </sheetViews>
  <sheetFormatPr defaultColWidth="8.75" defaultRowHeight="15.6"/>
  <cols>
    <col min="1" max="1" width="50.25" style="5" customWidth="1"/>
    <col min="2" max="2" width="19.375" style="5" customWidth="1"/>
    <col min="3" max="4" width="17.375" style="5" customWidth="1"/>
    <col min="5" max="7" width="18.125" style="5" customWidth="1"/>
    <col min="8" max="8" width="18.625" style="5" customWidth="1"/>
    <col min="9" max="9" width="20.375" style="5" customWidth="1"/>
    <col min="10" max="16384" width="8.75" style="5"/>
  </cols>
  <sheetData>
    <row r="1" spans="1:10" s="6" customFormat="1" ht="21">
      <c r="A1" s="6" t="s">
        <v>0</v>
      </c>
      <c r="E1" s="13"/>
    </row>
    <row r="2" spans="1:10" s="7" customFormat="1">
      <c r="A2" s="7" t="s">
        <v>1</v>
      </c>
      <c r="B2" s="7" t="s">
        <v>2</v>
      </c>
      <c r="C2" s="7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17" t="s">
        <v>9</v>
      </c>
    </row>
    <row r="3" spans="1:10" ht="15.75">
      <c r="A3" s="5" t="s">
        <v>10</v>
      </c>
      <c r="B3" s="25" t="s">
        <v>11</v>
      </c>
      <c r="C3" s="15" t="s">
        <v>12</v>
      </c>
      <c r="D3" s="23" t="s">
        <v>13</v>
      </c>
      <c r="E3" s="14">
        <v>149006</v>
      </c>
      <c r="F3" s="14">
        <v>201597</v>
      </c>
      <c r="G3" s="14">
        <v>219127</v>
      </c>
      <c r="H3" s="14">
        <v>306778</v>
      </c>
      <c r="I3" s="24">
        <f>SUM(E3:H3)</f>
        <v>876508</v>
      </c>
      <c r="J3" s="16"/>
    </row>
    <row r="4" spans="1:10" s="18" customFormat="1" ht="15.75">
      <c r="A4" s="18" t="s">
        <v>14</v>
      </c>
      <c r="B4" s="26" t="s">
        <v>15</v>
      </c>
      <c r="C4" s="19" t="s">
        <v>12</v>
      </c>
      <c r="D4" s="20" t="s">
        <v>13</v>
      </c>
      <c r="E4" s="14">
        <v>22918</v>
      </c>
      <c r="F4" s="14">
        <v>31007</v>
      </c>
      <c r="G4" s="14">
        <v>33703</v>
      </c>
      <c r="H4" s="14">
        <v>47184</v>
      </c>
      <c r="I4" s="27">
        <f>SUM(E4:H4)</f>
        <v>134812</v>
      </c>
      <c r="J4" s="21"/>
    </row>
    <row r="5" spans="1:10" ht="15.75">
      <c r="A5" s="18" t="s">
        <v>16</v>
      </c>
      <c r="B5" s="26" t="s">
        <v>17</v>
      </c>
      <c r="C5" s="19" t="s">
        <v>12</v>
      </c>
      <c r="D5" s="20" t="s">
        <v>18</v>
      </c>
      <c r="E5" s="14">
        <v>31944</v>
      </c>
      <c r="F5" s="14">
        <v>43219</v>
      </c>
      <c r="G5" s="14">
        <v>46977</v>
      </c>
      <c r="H5" s="14">
        <v>65767</v>
      </c>
      <c r="I5" s="27">
        <f>SUM(E5:H5)</f>
        <v>187907</v>
      </c>
      <c r="J5" s="16"/>
    </row>
    <row r="6" spans="1:10" ht="15.75">
      <c r="A6" s="5" t="s">
        <v>19</v>
      </c>
      <c r="B6" s="25" t="s">
        <v>20</v>
      </c>
      <c r="C6" s="15" t="s">
        <v>12</v>
      </c>
      <c r="D6" s="23" t="s">
        <v>13</v>
      </c>
      <c r="E6" s="14">
        <v>149006</v>
      </c>
      <c r="F6" s="14">
        <v>201597</v>
      </c>
      <c r="G6" s="14">
        <v>219127</v>
      </c>
      <c r="H6" s="14">
        <v>306778</v>
      </c>
      <c r="I6" s="24">
        <f>SUM(E6:H6)</f>
        <v>876508</v>
      </c>
      <c r="J6" s="16"/>
    </row>
    <row r="7" spans="1:10" ht="15.75">
      <c r="A7" s="18" t="s">
        <v>21</v>
      </c>
      <c r="B7" s="26" t="s">
        <v>22</v>
      </c>
      <c r="C7" s="19" t="s">
        <v>23</v>
      </c>
      <c r="D7" s="20" t="s">
        <v>24</v>
      </c>
      <c r="E7" s="14">
        <v>19908</v>
      </c>
      <c r="F7" s="14">
        <v>26934</v>
      </c>
      <c r="G7" s="14">
        <v>29276</v>
      </c>
      <c r="H7" s="14">
        <v>40986</v>
      </c>
      <c r="I7" s="27">
        <f>SUM(E7:H7)</f>
        <v>117104</v>
      </c>
      <c r="J7" s="16"/>
    </row>
    <row r="8" spans="1:10" ht="15.75">
      <c r="A8" s="18" t="s">
        <v>25</v>
      </c>
      <c r="B8" s="26" t="s">
        <v>26</v>
      </c>
      <c r="C8" s="19" t="s">
        <v>12</v>
      </c>
      <c r="D8" s="20" t="s">
        <v>18</v>
      </c>
      <c r="E8" s="14">
        <v>31944</v>
      </c>
      <c r="F8" s="14">
        <v>43219</v>
      </c>
      <c r="G8" s="14">
        <v>46977</v>
      </c>
      <c r="H8" s="14">
        <v>65767</v>
      </c>
      <c r="I8" s="27">
        <f>SUM(E8:H8)</f>
        <v>187907</v>
      </c>
      <c r="J8" s="16"/>
    </row>
    <row r="9" spans="1:10" ht="15.75">
      <c r="A9" s="18" t="s">
        <v>27</v>
      </c>
      <c r="B9" s="26" t="s">
        <v>28</v>
      </c>
      <c r="C9" s="19" t="s">
        <v>23</v>
      </c>
      <c r="D9" s="22" t="s">
        <v>24</v>
      </c>
      <c r="E9" s="14">
        <v>37824</v>
      </c>
      <c r="F9" s="14">
        <v>51174</v>
      </c>
      <c r="G9" s="14">
        <v>55624</v>
      </c>
      <c r="H9" s="14">
        <v>77874</v>
      </c>
      <c r="I9" s="28">
        <f>SUM(E9:H9)</f>
        <v>222496</v>
      </c>
    </row>
    <row r="10" spans="1:10" ht="15.75">
      <c r="A10" s="5" t="s">
        <v>29</v>
      </c>
      <c r="B10" s="25" t="s">
        <v>30</v>
      </c>
      <c r="C10" s="19" t="s">
        <v>12</v>
      </c>
      <c r="D10" s="20" t="s">
        <v>18</v>
      </c>
      <c r="E10" s="33">
        <v>31944</v>
      </c>
      <c r="F10" s="33">
        <v>43219</v>
      </c>
      <c r="G10" s="33">
        <v>46977</v>
      </c>
      <c r="H10" s="34">
        <v>65767</v>
      </c>
      <c r="I10" s="35">
        <f>SUM(E10:H10)</f>
        <v>187907</v>
      </c>
    </row>
    <row r="11" spans="1:10" ht="15.75">
      <c r="A11" s="29" t="s">
        <v>31</v>
      </c>
      <c r="B11" s="25" t="s">
        <v>32</v>
      </c>
      <c r="C11" s="29" t="s">
        <v>12</v>
      </c>
      <c r="D11" s="32" t="s">
        <v>13</v>
      </c>
      <c r="E11" s="30">
        <v>31405</v>
      </c>
      <c r="F11" s="30">
        <v>42489</v>
      </c>
      <c r="G11" s="30">
        <v>46183</v>
      </c>
      <c r="H11" s="30">
        <v>64657</v>
      </c>
      <c r="I11" s="31">
        <f>SUM(E11:H11)</f>
        <v>184734</v>
      </c>
      <c r="J11" s="16"/>
    </row>
    <row r="12" spans="1:10">
      <c r="E12" s="36"/>
      <c r="F12" s="36"/>
      <c r="G12" s="36"/>
      <c r="H12" s="36"/>
      <c r="I12" s="3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49A1574-27FC-424E-9445-8C8D701658D2}">
          <x14:formula1>
            <xm:f>'Options for KPI UT Levels'!$A$2:$A$47</xm:f>
          </x14:formula1>
          <xm:sqref>H1 C3:C457</xm:sqref>
        </x14:dataValidation>
        <x14:dataValidation type="list" allowBlank="1" showInputMessage="1" showErrorMessage="1" xr:uid="{DBC7447C-57D1-41AF-B182-99CB007A7812}">
          <x14:formula1>
            <xm:f>'Options for KPI UT Levels'!$B$2:$B$47</xm:f>
          </x14:formula1>
          <xm:sqref>D3:D819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F36E3-5255-4202-A37C-29509B0DE1E4}">
  <sheetPr>
    <tabColor rgb="FF92D050"/>
  </sheetPr>
  <dimension ref="A1:J18"/>
  <sheetViews>
    <sheetView tabSelected="1" workbookViewId="0">
      <selection activeCell="I15" sqref="I15"/>
    </sheetView>
  </sheetViews>
  <sheetFormatPr defaultRowHeight="15.75"/>
  <cols>
    <col min="1" max="1" width="52" customWidth="1"/>
    <col min="2" max="2" width="13.375" customWidth="1"/>
    <col min="3" max="4" width="16.125" customWidth="1"/>
  </cols>
  <sheetData>
    <row r="1" spans="1:10" ht="21">
      <c r="A1" s="6" t="s">
        <v>33</v>
      </c>
      <c r="B1" s="6"/>
      <c r="C1" s="6"/>
      <c r="D1" s="6"/>
      <c r="E1" s="13"/>
      <c r="F1" s="6"/>
      <c r="G1" s="6"/>
      <c r="H1" s="6"/>
      <c r="I1" s="6"/>
      <c r="J1" s="6"/>
    </row>
    <row r="2" spans="1:10">
      <c r="A2" s="17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17" t="s">
        <v>9</v>
      </c>
      <c r="J2" s="17"/>
    </row>
    <row r="3" spans="1:10" s="37" customFormat="1">
      <c r="A3" s="37" t="s">
        <v>34</v>
      </c>
      <c r="B3" s="44" t="s">
        <v>35</v>
      </c>
      <c r="C3" s="37" t="s">
        <v>12</v>
      </c>
      <c r="D3" s="37" t="s">
        <v>13</v>
      </c>
      <c r="E3" s="14">
        <v>149006</v>
      </c>
      <c r="F3" s="14">
        <v>201597</v>
      </c>
      <c r="G3" s="14">
        <v>219127</v>
      </c>
      <c r="H3" s="14">
        <v>306778</v>
      </c>
      <c r="I3" s="38">
        <f>SUM(E3:H3)</f>
        <v>876508</v>
      </c>
    </row>
    <row r="4" spans="1:10" s="37" customFormat="1">
      <c r="A4" s="39" t="s">
        <v>36</v>
      </c>
      <c r="B4" s="45" t="s">
        <v>37</v>
      </c>
      <c r="C4" s="39" t="s">
        <v>12</v>
      </c>
      <c r="D4" s="39" t="s">
        <v>18</v>
      </c>
      <c r="E4" s="14">
        <v>31944</v>
      </c>
      <c r="F4" s="14">
        <v>43219</v>
      </c>
      <c r="G4" s="14">
        <v>46977</v>
      </c>
      <c r="H4" s="14">
        <v>65767</v>
      </c>
      <c r="I4" s="38">
        <f t="shared" ref="I4:I11" si="0">SUM(E4:H4)</f>
        <v>187907</v>
      </c>
      <c r="J4" s="39"/>
    </row>
    <row r="5" spans="1:10" s="37" customFormat="1">
      <c r="A5" s="39" t="s">
        <v>38</v>
      </c>
      <c r="B5" s="45" t="s">
        <v>39</v>
      </c>
      <c r="C5" s="39" t="s">
        <v>12</v>
      </c>
      <c r="D5" s="39" t="s">
        <v>18</v>
      </c>
      <c r="E5" s="14">
        <v>31944</v>
      </c>
      <c r="F5" s="14">
        <v>43219</v>
      </c>
      <c r="G5" s="14">
        <v>46977</v>
      </c>
      <c r="H5" s="14">
        <v>65767</v>
      </c>
      <c r="I5" s="38">
        <f t="shared" si="0"/>
        <v>187907</v>
      </c>
    </row>
    <row r="6" spans="1:10" s="37" customFormat="1">
      <c r="A6" s="37" t="s">
        <v>40</v>
      </c>
      <c r="B6" s="44" t="s">
        <v>41</v>
      </c>
      <c r="C6" s="37" t="s">
        <v>12</v>
      </c>
      <c r="D6" s="37" t="s">
        <v>13</v>
      </c>
      <c r="E6" s="14">
        <v>149006</v>
      </c>
      <c r="F6" s="14">
        <v>201597</v>
      </c>
      <c r="G6" s="14">
        <v>219127</v>
      </c>
      <c r="H6" s="14">
        <v>306778</v>
      </c>
      <c r="I6" s="38">
        <f t="shared" si="0"/>
        <v>876508</v>
      </c>
    </row>
    <row r="7" spans="1:10" s="37" customFormat="1">
      <c r="A7" s="39" t="s">
        <v>42</v>
      </c>
      <c r="B7" s="45" t="s">
        <v>43</v>
      </c>
      <c r="C7" s="39" t="s">
        <v>12</v>
      </c>
      <c r="D7" s="39" t="s">
        <v>18</v>
      </c>
      <c r="E7" s="14">
        <v>31944</v>
      </c>
      <c r="F7" s="14">
        <v>43219</v>
      </c>
      <c r="G7" s="14">
        <v>46977</v>
      </c>
      <c r="H7" s="14">
        <v>65767</v>
      </c>
      <c r="I7" s="38">
        <f t="shared" si="0"/>
        <v>187907</v>
      </c>
    </row>
    <row r="8" spans="1:10" s="37" customFormat="1">
      <c r="A8" s="39" t="s">
        <v>44</v>
      </c>
      <c r="B8" s="45" t="s">
        <v>45</v>
      </c>
      <c r="C8" s="39" t="s">
        <v>12</v>
      </c>
      <c r="D8" s="39" t="s">
        <v>18</v>
      </c>
      <c r="E8" s="14">
        <v>31944</v>
      </c>
      <c r="F8" s="14">
        <v>43219</v>
      </c>
      <c r="G8" s="14">
        <v>46977</v>
      </c>
      <c r="H8" s="14">
        <v>65767</v>
      </c>
      <c r="I8" s="38">
        <f t="shared" si="0"/>
        <v>187907</v>
      </c>
    </row>
    <row r="9" spans="1:10" s="37" customFormat="1">
      <c r="A9" s="39" t="s">
        <v>46</v>
      </c>
      <c r="B9" s="45" t="s">
        <v>47</v>
      </c>
      <c r="C9" s="39" t="s">
        <v>12</v>
      </c>
      <c r="D9" s="39" t="s">
        <v>18</v>
      </c>
      <c r="E9" s="14">
        <v>31944</v>
      </c>
      <c r="F9" s="14">
        <v>43219</v>
      </c>
      <c r="G9" s="14">
        <v>46977</v>
      </c>
      <c r="H9" s="14">
        <v>65767</v>
      </c>
      <c r="I9" s="38">
        <f t="shared" si="0"/>
        <v>187907</v>
      </c>
    </row>
    <row r="10" spans="1:10" s="37" customFormat="1">
      <c r="A10" s="5" t="s">
        <v>48</v>
      </c>
      <c r="B10" s="44" t="s">
        <v>49</v>
      </c>
      <c r="C10" s="42" t="s">
        <v>12</v>
      </c>
      <c r="D10" s="42" t="s">
        <v>18</v>
      </c>
      <c r="E10" s="43">
        <v>100355</v>
      </c>
      <c r="F10" s="43">
        <v>135775</v>
      </c>
      <c r="G10" s="43">
        <v>147581</v>
      </c>
      <c r="H10" s="43">
        <v>206614</v>
      </c>
      <c r="I10" s="38">
        <f t="shared" si="0"/>
        <v>590325</v>
      </c>
      <c r="J10" s="40"/>
    </row>
    <row r="11" spans="1:10" s="37" customFormat="1">
      <c r="A11" s="40" t="s">
        <v>50</v>
      </c>
      <c r="B11" s="44" t="s">
        <v>51</v>
      </c>
      <c r="C11" s="29" t="s">
        <v>12</v>
      </c>
      <c r="D11" s="32" t="s">
        <v>13</v>
      </c>
      <c r="E11" s="30">
        <v>29614</v>
      </c>
      <c r="F11" s="30">
        <v>38405</v>
      </c>
      <c r="G11" s="30">
        <v>43489</v>
      </c>
      <c r="H11" s="30">
        <v>60183</v>
      </c>
      <c r="I11" s="38">
        <f t="shared" si="0"/>
        <v>171691</v>
      </c>
      <c r="J11" s="40"/>
    </row>
    <row r="12" spans="1:10" s="40" customFormat="1">
      <c r="A12" s="40" t="s">
        <v>52</v>
      </c>
      <c r="B12" s="44" t="s">
        <v>53</v>
      </c>
      <c r="C12" s="39" t="s">
        <v>12</v>
      </c>
      <c r="D12" s="39" t="s">
        <v>18</v>
      </c>
      <c r="E12" s="14">
        <v>31944</v>
      </c>
      <c r="F12" s="14">
        <v>43219</v>
      </c>
      <c r="G12" s="14">
        <v>46977</v>
      </c>
      <c r="H12" s="14">
        <v>65767</v>
      </c>
      <c r="I12" s="38">
        <f t="shared" ref="I12" si="1">SUM(E12:H12)</f>
        <v>187907</v>
      </c>
    </row>
    <row r="13" spans="1:10" s="40" customFormat="1">
      <c r="A13" s="40" t="s">
        <v>54</v>
      </c>
      <c r="B13" s="44" t="s">
        <v>55</v>
      </c>
      <c r="C13" s="39" t="s">
        <v>12</v>
      </c>
      <c r="D13" s="39" t="s">
        <v>18</v>
      </c>
      <c r="E13" s="14">
        <v>31944</v>
      </c>
      <c r="F13" s="14">
        <v>43219</v>
      </c>
      <c r="G13" s="14">
        <v>46977</v>
      </c>
      <c r="H13" s="14">
        <v>65767</v>
      </c>
      <c r="I13" s="38">
        <f>SUM(E13:H13)</f>
        <v>187907</v>
      </c>
    </row>
    <row r="14" spans="1:10" s="40" customFormat="1">
      <c r="A14" s="40" t="s">
        <v>56</v>
      </c>
      <c r="B14" s="44" t="s">
        <v>57</v>
      </c>
      <c r="C14" s="42" t="s">
        <v>23</v>
      </c>
      <c r="D14" s="42" t="s">
        <v>58</v>
      </c>
      <c r="E14" s="43">
        <v>19869</v>
      </c>
      <c r="F14" s="43">
        <v>26882</v>
      </c>
      <c r="G14" s="43">
        <v>29219</v>
      </c>
      <c r="H14" s="43">
        <v>40907</v>
      </c>
      <c r="I14" s="65">
        <f>SUM(E14:H14)</f>
        <v>116877</v>
      </c>
    </row>
    <row r="15" spans="1:10" s="40" customFormat="1">
      <c r="C15" s="42"/>
      <c r="D15" s="42"/>
      <c r="E15" s="43"/>
      <c r="F15" s="43"/>
      <c r="G15" s="43"/>
      <c r="H15" s="43"/>
    </row>
    <row r="17" spans="1:10">
      <c r="A17" s="41"/>
    </row>
    <row r="18" spans="1:10">
      <c r="A18" s="46" t="s">
        <v>59</v>
      </c>
      <c r="B18" s="47" t="s">
        <v>60</v>
      </c>
      <c r="C18" s="48" t="s">
        <v>12</v>
      </c>
      <c r="D18" s="48" t="s">
        <v>13</v>
      </c>
      <c r="E18" s="49">
        <v>23128</v>
      </c>
      <c r="F18" s="49">
        <v>31291</v>
      </c>
      <c r="G18" s="49">
        <v>34012</v>
      </c>
      <c r="H18" s="49">
        <v>47617</v>
      </c>
      <c r="I18" s="50">
        <f>SUM(E18:H18)</f>
        <v>136048</v>
      </c>
      <c r="J18" s="4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D638088-4B43-465B-AC58-92482F273C43}">
          <x14:formula1>
            <xm:f>'Options for KPI UT Levels'!$A$2:$A$47</xm:f>
          </x14:formula1>
          <xm:sqref>H1 C3:C9 C11:C13</xm:sqref>
        </x14:dataValidation>
        <x14:dataValidation type="list" allowBlank="1" showInputMessage="1" showErrorMessage="1" xr:uid="{D6779EF0-8C74-454F-91F7-92FE449ECECA}">
          <x14:formula1>
            <xm:f>'Options for KPI UT Levels'!$B$2:$B$47</xm:f>
          </x14:formula1>
          <xm:sqref>D3:D9 D11:D13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B649-802E-4BF7-A587-0E754CC1EC8D}">
  <sheetPr>
    <tabColor rgb="FF0070C0"/>
  </sheetPr>
  <dimension ref="A1:J15"/>
  <sheetViews>
    <sheetView workbookViewId="0">
      <selection activeCell="A11" sqref="A11"/>
    </sheetView>
  </sheetViews>
  <sheetFormatPr defaultRowHeight="15.75"/>
  <cols>
    <col min="1" max="1" width="65.25" customWidth="1"/>
    <col min="2" max="2" width="14.875" customWidth="1"/>
    <col min="3" max="9" width="14.75" customWidth="1"/>
  </cols>
  <sheetData>
    <row r="1" spans="1:10" ht="21">
      <c r="A1" s="6" t="s">
        <v>61</v>
      </c>
      <c r="B1" s="6"/>
      <c r="C1" s="6"/>
      <c r="D1" s="6"/>
      <c r="E1" s="13"/>
      <c r="F1" s="6"/>
      <c r="G1" s="6"/>
      <c r="H1" s="6"/>
      <c r="I1" s="6"/>
      <c r="J1" s="6"/>
    </row>
    <row r="2" spans="1:10">
      <c r="A2" s="17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17" t="s">
        <v>9</v>
      </c>
      <c r="J2" s="17"/>
    </row>
    <row r="3" spans="1:10" s="52" customFormat="1">
      <c r="A3" s="52" t="s">
        <v>62</v>
      </c>
      <c r="B3" s="56" t="s">
        <v>63</v>
      </c>
      <c r="C3" s="39" t="s">
        <v>12</v>
      </c>
      <c r="D3" s="39" t="s">
        <v>18</v>
      </c>
      <c r="E3" s="14">
        <v>31944</v>
      </c>
      <c r="F3" s="14">
        <v>43219</v>
      </c>
      <c r="G3" s="14">
        <v>46977</v>
      </c>
      <c r="H3" s="14">
        <v>65767</v>
      </c>
      <c r="I3" s="38">
        <f t="shared" ref="I3:I5" si="0">SUM(E3:H3)</f>
        <v>187907</v>
      </c>
    </row>
    <row r="4" spans="1:10" s="52" customFormat="1">
      <c r="A4" s="52" t="s">
        <v>64</v>
      </c>
      <c r="B4" s="56" t="s">
        <v>65</v>
      </c>
      <c r="C4" s="39" t="s">
        <v>12</v>
      </c>
      <c r="D4" s="39" t="s">
        <v>18</v>
      </c>
      <c r="E4" s="14">
        <v>31944</v>
      </c>
      <c r="F4" s="14">
        <v>43219</v>
      </c>
      <c r="G4" s="14">
        <v>46977</v>
      </c>
      <c r="H4" s="14">
        <v>65767</v>
      </c>
      <c r="I4" s="38">
        <f t="shared" si="0"/>
        <v>187907</v>
      </c>
    </row>
    <row r="5" spans="1:10" s="57" customFormat="1">
      <c r="A5" s="57" t="s">
        <v>66</v>
      </c>
      <c r="B5" s="59" t="s">
        <v>67</v>
      </c>
      <c r="C5" s="42" t="s">
        <v>12</v>
      </c>
      <c r="D5" s="42" t="s">
        <v>13</v>
      </c>
      <c r="E5" s="43">
        <v>23128</v>
      </c>
      <c r="F5" s="43">
        <v>31291</v>
      </c>
      <c r="G5" s="43">
        <v>34012</v>
      </c>
      <c r="H5" s="43">
        <v>47617</v>
      </c>
      <c r="I5" s="58">
        <f t="shared" si="0"/>
        <v>136048</v>
      </c>
    </row>
    <row r="6" spans="1:10" s="52" customFormat="1">
      <c r="A6" s="52" t="s">
        <v>68</v>
      </c>
      <c r="B6" s="56" t="s">
        <v>69</v>
      </c>
      <c r="C6" s="39" t="s">
        <v>12</v>
      </c>
      <c r="D6" s="39" t="s">
        <v>18</v>
      </c>
      <c r="E6" s="14">
        <v>31944</v>
      </c>
      <c r="F6" s="14">
        <v>43219</v>
      </c>
      <c r="G6" s="14">
        <v>46977</v>
      </c>
      <c r="H6" s="14">
        <v>65767</v>
      </c>
      <c r="I6" s="38">
        <f t="shared" ref="I6:I8" si="1">SUM(E6:H6)</f>
        <v>187907</v>
      </c>
    </row>
    <row r="7" spans="1:10" s="52" customFormat="1">
      <c r="A7" s="52" t="s">
        <v>70</v>
      </c>
      <c r="B7" s="56" t="s">
        <v>71</v>
      </c>
      <c r="C7" s="39" t="s">
        <v>12</v>
      </c>
      <c r="D7" s="39" t="s">
        <v>18</v>
      </c>
      <c r="E7" s="14">
        <v>31944</v>
      </c>
      <c r="F7" s="14">
        <v>43219</v>
      </c>
      <c r="G7" s="14">
        <v>46977</v>
      </c>
      <c r="H7" s="14">
        <v>65767</v>
      </c>
      <c r="I7" s="38">
        <f t="shared" si="1"/>
        <v>187907</v>
      </c>
    </row>
    <row r="8" spans="1:10" s="52" customFormat="1">
      <c r="A8" s="57" t="s">
        <v>72</v>
      </c>
      <c r="B8" s="60" t="s">
        <v>73</v>
      </c>
      <c r="C8" s="42" t="s">
        <v>12</v>
      </c>
      <c r="D8" s="42" t="s">
        <v>13</v>
      </c>
      <c r="E8" s="43">
        <v>23128</v>
      </c>
      <c r="F8" s="43">
        <v>31291</v>
      </c>
      <c r="G8" s="43">
        <v>34012</v>
      </c>
      <c r="H8" s="43">
        <v>47617</v>
      </c>
      <c r="I8" s="38">
        <f t="shared" si="1"/>
        <v>136048</v>
      </c>
    </row>
    <row r="9" spans="1:10" s="52" customFormat="1">
      <c r="A9" s="52" t="s">
        <v>74</v>
      </c>
      <c r="B9" s="56" t="s">
        <v>75</v>
      </c>
      <c r="C9" s="39" t="s">
        <v>12</v>
      </c>
      <c r="D9" s="39" t="s">
        <v>18</v>
      </c>
      <c r="E9" s="14">
        <v>31944</v>
      </c>
      <c r="F9" s="14">
        <v>43219</v>
      </c>
      <c r="G9" s="14">
        <v>46977</v>
      </c>
      <c r="H9" s="14">
        <v>65767</v>
      </c>
      <c r="I9" s="38">
        <f t="shared" ref="I9:I11" si="2">SUM(E9:H9)</f>
        <v>187907</v>
      </c>
    </row>
    <row r="10" spans="1:10" s="52" customFormat="1">
      <c r="A10" s="52" t="s">
        <v>76</v>
      </c>
      <c r="B10" s="56" t="s">
        <v>77</v>
      </c>
      <c r="C10" s="39" t="s">
        <v>12</v>
      </c>
      <c r="D10" s="39" t="s">
        <v>18</v>
      </c>
      <c r="E10" s="14">
        <v>31944</v>
      </c>
      <c r="F10" s="14">
        <v>43219</v>
      </c>
      <c r="G10" s="14">
        <v>46977</v>
      </c>
      <c r="H10" s="14">
        <v>65767</v>
      </c>
      <c r="I10" s="38">
        <f t="shared" si="2"/>
        <v>187907</v>
      </c>
    </row>
    <row r="11" spans="1:10" s="52" customFormat="1">
      <c r="A11" s="52" t="s">
        <v>78</v>
      </c>
      <c r="B11" s="56" t="s">
        <v>79</v>
      </c>
      <c r="C11" s="39" t="s">
        <v>12</v>
      </c>
      <c r="D11" s="39" t="s">
        <v>18</v>
      </c>
      <c r="E11" s="14">
        <v>31944</v>
      </c>
      <c r="F11" s="14">
        <v>43219</v>
      </c>
      <c r="G11" s="14">
        <v>46977</v>
      </c>
      <c r="H11" s="14">
        <v>65767</v>
      </c>
      <c r="I11" s="38">
        <f t="shared" si="2"/>
        <v>187907</v>
      </c>
    </row>
    <row r="12" spans="1:10" s="52" customFormat="1"/>
    <row r="13" spans="1:10" s="52" customFormat="1"/>
    <row r="14" spans="1:10" s="53" customFormat="1">
      <c r="A14" s="53" t="s">
        <v>80</v>
      </c>
      <c r="B14" s="53" t="s">
        <v>81</v>
      </c>
      <c r="C14" s="54" t="s">
        <v>12</v>
      </c>
      <c r="D14" s="54" t="s">
        <v>18</v>
      </c>
      <c r="E14" s="55">
        <v>31944</v>
      </c>
      <c r="F14" s="55">
        <v>43219</v>
      </c>
      <c r="G14" s="55">
        <v>46977</v>
      </c>
      <c r="H14" s="55">
        <v>65767</v>
      </c>
      <c r="I14" s="50">
        <f>SUM(E14:H14)</f>
        <v>187907</v>
      </c>
    </row>
    <row r="15" spans="1:10">
      <c r="A15" s="51" t="s">
        <v>82</v>
      </c>
      <c r="B15" s="51" t="s">
        <v>83</v>
      </c>
      <c r="C15" s="48" t="s">
        <v>12</v>
      </c>
      <c r="D15" s="48" t="s">
        <v>13</v>
      </c>
      <c r="E15" s="49">
        <v>23128</v>
      </c>
      <c r="F15" s="49">
        <v>31291</v>
      </c>
      <c r="G15" s="49">
        <v>34012</v>
      </c>
      <c r="H15" s="49">
        <v>47617</v>
      </c>
      <c r="I15" s="50">
        <f t="shared" ref="I15" si="3">SUM(E15:H15)</f>
        <v>136048</v>
      </c>
      <c r="J15" s="5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3F162BB-7047-4F58-B6DD-2F3559839594}">
          <x14:formula1>
            <xm:f>'Options for KPI UT Levels'!$A$2:$A$47</xm:f>
          </x14:formula1>
          <xm:sqref>H1 C3:C4 C6:C7 C9 C14 C10:C11</xm:sqref>
        </x14:dataValidation>
        <x14:dataValidation type="list" allowBlank="1" showInputMessage="1" showErrorMessage="1" xr:uid="{60710CA9-7B2A-4B79-9F48-9F7F8ABD9BF2}">
          <x14:formula1>
            <xm:f>'Options for KPI UT Levels'!$B$2:$B$47</xm:f>
          </x14:formula1>
          <xm:sqref>D3:D4 D6:D7 D9 D14 D10:D11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5964-A964-0541-B96E-E86F780712DE}">
  <dimension ref="A1:B47"/>
  <sheetViews>
    <sheetView zoomScaleNormal="100" workbookViewId="0"/>
  </sheetViews>
  <sheetFormatPr defaultColWidth="10.75" defaultRowHeight="22.15" customHeight="1"/>
  <cols>
    <col min="1" max="1" width="33.5" style="4" bestFit="1" customWidth="1"/>
    <col min="2" max="2" width="47.75" style="2" bestFit="1" customWidth="1"/>
    <col min="3" max="16384" width="10.75" style="2"/>
  </cols>
  <sheetData>
    <row r="1" spans="1:2" ht="22.15" customHeight="1">
      <c r="A1" s="1" t="s">
        <v>3</v>
      </c>
      <c r="B1" s="1" t="s">
        <v>4</v>
      </c>
    </row>
    <row r="2" spans="1:2" ht="22.15" customHeight="1">
      <c r="A2" s="62" t="s">
        <v>23</v>
      </c>
      <c r="B2" s="2" t="s">
        <v>58</v>
      </c>
    </row>
    <row r="3" spans="1:2" ht="22.15" customHeight="1">
      <c r="A3" s="62"/>
      <c r="B3" s="2" t="s">
        <v>84</v>
      </c>
    </row>
    <row r="4" spans="1:2" ht="22.15" customHeight="1">
      <c r="A4" s="62"/>
      <c r="B4" s="2" t="s">
        <v>85</v>
      </c>
    </row>
    <row r="5" spans="1:2" ht="22.15" customHeight="1">
      <c r="A5" s="63"/>
      <c r="B5" s="3" t="s">
        <v>24</v>
      </c>
    </row>
    <row r="6" spans="1:2" ht="22.15" customHeight="1">
      <c r="A6" s="62" t="s">
        <v>12</v>
      </c>
      <c r="B6" s="2" t="s">
        <v>13</v>
      </c>
    </row>
    <row r="7" spans="1:2" ht="22.15" customHeight="1">
      <c r="A7" s="62"/>
      <c r="B7" s="2" t="s">
        <v>86</v>
      </c>
    </row>
    <row r="8" spans="1:2" ht="22.15" customHeight="1">
      <c r="A8" s="63"/>
      <c r="B8" s="3" t="s">
        <v>18</v>
      </c>
    </row>
    <row r="9" spans="1:2" ht="22.15" customHeight="1">
      <c r="A9" s="62" t="s">
        <v>87</v>
      </c>
      <c r="B9" s="2" t="s">
        <v>88</v>
      </c>
    </row>
    <row r="10" spans="1:2" ht="22.15" customHeight="1">
      <c r="A10" s="62"/>
      <c r="B10" s="2" t="s">
        <v>89</v>
      </c>
    </row>
    <row r="11" spans="1:2" ht="22.15" customHeight="1">
      <c r="A11" s="63"/>
      <c r="B11" s="3" t="s">
        <v>90</v>
      </c>
    </row>
    <row r="12" spans="1:2" ht="22.15" customHeight="1">
      <c r="A12" s="62" t="s">
        <v>91</v>
      </c>
      <c r="B12" s="2" t="s">
        <v>92</v>
      </c>
    </row>
    <row r="13" spans="1:2" ht="22.15" customHeight="1">
      <c r="A13" s="62"/>
      <c r="B13" s="2" t="s">
        <v>93</v>
      </c>
    </row>
    <row r="14" spans="1:2" ht="22.15" customHeight="1">
      <c r="A14" s="63"/>
      <c r="B14" s="3" t="s">
        <v>94</v>
      </c>
    </row>
    <row r="15" spans="1:2" ht="22.15" customHeight="1">
      <c r="A15" s="61" t="s">
        <v>95</v>
      </c>
      <c r="B15" s="3" t="s">
        <v>96</v>
      </c>
    </row>
    <row r="16" spans="1:2" ht="22.15" customHeight="1">
      <c r="A16" s="62" t="s">
        <v>97</v>
      </c>
      <c r="B16" s="2" t="s">
        <v>98</v>
      </c>
    </row>
    <row r="17" spans="1:2" ht="22.15" customHeight="1">
      <c r="A17" s="62"/>
      <c r="B17" s="2" t="s">
        <v>99</v>
      </c>
    </row>
    <row r="18" spans="1:2" ht="22.15" customHeight="1">
      <c r="A18" s="62"/>
      <c r="B18" s="2" t="s">
        <v>100</v>
      </c>
    </row>
    <row r="19" spans="1:2" ht="22.15" customHeight="1">
      <c r="A19" s="63"/>
      <c r="B19" s="3" t="s">
        <v>101</v>
      </c>
    </row>
    <row r="20" spans="1:2" ht="22.15" customHeight="1">
      <c r="A20" s="61" t="s">
        <v>102</v>
      </c>
      <c r="B20" s="3" t="s">
        <v>103</v>
      </c>
    </row>
    <row r="21" spans="1:2" ht="22.15" customHeight="1">
      <c r="A21" s="62" t="s">
        <v>104</v>
      </c>
      <c r="B21" s="2" t="s">
        <v>105</v>
      </c>
    </row>
    <row r="22" spans="1:2" ht="22.15" customHeight="1">
      <c r="A22" s="62"/>
      <c r="B22" s="2" t="s">
        <v>106</v>
      </c>
    </row>
    <row r="23" spans="1:2" ht="22.15" customHeight="1">
      <c r="A23" s="63"/>
      <c r="B23" s="3" t="s">
        <v>107</v>
      </c>
    </row>
    <row r="24" spans="1:2" ht="22.15" customHeight="1">
      <c r="A24" s="62" t="s">
        <v>108</v>
      </c>
      <c r="B24" s="2" t="s">
        <v>109</v>
      </c>
    </row>
    <row r="25" spans="1:2" ht="22.15" customHeight="1">
      <c r="A25" s="62"/>
      <c r="B25" s="2" t="s">
        <v>110</v>
      </c>
    </row>
    <row r="26" spans="1:2" ht="22.15" customHeight="1">
      <c r="A26" s="62"/>
      <c r="B26" s="2" t="s">
        <v>111</v>
      </c>
    </row>
    <row r="27" spans="1:2" ht="22.15" customHeight="1">
      <c r="A27" s="62"/>
      <c r="B27" s="2" t="s">
        <v>112</v>
      </c>
    </row>
    <row r="28" spans="1:2" ht="22.15" customHeight="1">
      <c r="A28" s="62"/>
      <c r="B28" s="2" t="s">
        <v>113</v>
      </c>
    </row>
    <row r="29" spans="1:2" ht="22.15" customHeight="1">
      <c r="A29" s="62"/>
      <c r="B29" s="2" t="s">
        <v>114</v>
      </c>
    </row>
    <row r="30" spans="1:2" ht="22.15" customHeight="1">
      <c r="A30" s="62"/>
      <c r="B30" s="2" t="s">
        <v>115</v>
      </c>
    </row>
    <row r="31" spans="1:2" ht="22.15" customHeight="1">
      <c r="A31" s="63"/>
      <c r="B31" s="3" t="s">
        <v>116</v>
      </c>
    </row>
    <row r="32" spans="1:2" ht="22.15" customHeight="1">
      <c r="A32" s="62" t="s">
        <v>117</v>
      </c>
      <c r="B32" s="2" t="s">
        <v>118</v>
      </c>
    </row>
    <row r="33" spans="1:2" ht="22.15" customHeight="1">
      <c r="A33" s="62"/>
      <c r="B33" s="2" t="s">
        <v>119</v>
      </c>
    </row>
    <row r="34" spans="1:2" ht="22.15" customHeight="1">
      <c r="A34" s="62"/>
      <c r="B34" s="2" t="s">
        <v>120</v>
      </c>
    </row>
    <row r="35" spans="1:2" ht="22.15" customHeight="1">
      <c r="A35" s="62"/>
      <c r="B35" s="2" t="s">
        <v>121</v>
      </c>
    </row>
    <row r="36" spans="1:2" ht="22.15" customHeight="1">
      <c r="A36" s="62"/>
      <c r="B36" s="2" t="s">
        <v>122</v>
      </c>
    </row>
    <row r="37" spans="1:2" ht="22.15" customHeight="1">
      <c r="A37" s="62"/>
      <c r="B37" s="2" t="s">
        <v>123</v>
      </c>
    </row>
    <row r="38" spans="1:2" ht="22.15" customHeight="1">
      <c r="A38" s="62"/>
      <c r="B38" s="2" t="s">
        <v>124</v>
      </c>
    </row>
    <row r="39" spans="1:2" ht="22.15" customHeight="1">
      <c r="A39" s="63"/>
      <c r="B39" s="3" t="s">
        <v>125</v>
      </c>
    </row>
    <row r="40" spans="1:2" ht="22.15" customHeight="1">
      <c r="A40" s="61" t="s">
        <v>126</v>
      </c>
      <c r="B40" s="3" t="s">
        <v>127</v>
      </c>
    </row>
    <row r="41" spans="1:2" ht="22.15" customHeight="1">
      <c r="A41" s="62" t="s">
        <v>128</v>
      </c>
      <c r="B41" s="2" t="s">
        <v>129</v>
      </c>
    </row>
    <row r="42" spans="1:2" ht="22.15" customHeight="1">
      <c r="A42" s="63"/>
      <c r="B42" s="3" t="s">
        <v>130</v>
      </c>
    </row>
    <row r="43" spans="1:2" ht="22.15" customHeight="1">
      <c r="A43" s="62" t="s">
        <v>131</v>
      </c>
      <c r="B43" s="2" t="s">
        <v>132</v>
      </c>
    </row>
    <row r="44" spans="1:2" ht="22.15" customHeight="1">
      <c r="A44" s="63"/>
      <c r="B44" s="3" t="s">
        <v>133</v>
      </c>
    </row>
    <row r="45" spans="1:2" ht="22.15" customHeight="1">
      <c r="A45" s="62" t="s">
        <v>134</v>
      </c>
      <c r="B45" s="2" t="s">
        <v>135</v>
      </c>
    </row>
    <row r="46" spans="1:2" ht="22.15" customHeight="1">
      <c r="A46" s="62"/>
      <c r="B46" s="2" t="s">
        <v>136</v>
      </c>
    </row>
    <row r="47" spans="1:2" ht="22.15" customHeight="1">
      <c r="A47" s="63"/>
      <c r="B47" s="3" t="s">
        <v>137</v>
      </c>
    </row>
  </sheetData>
  <mergeCells count="11">
    <mergeCell ref="A24:A31"/>
    <mergeCell ref="A32:A39"/>
    <mergeCell ref="A41:A42"/>
    <mergeCell ref="A43:A44"/>
    <mergeCell ref="A45:A47"/>
    <mergeCell ref="A21:A23"/>
    <mergeCell ref="A2:A5"/>
    <mergeCell ref="A6:A8"/>
    <mergeCell ref="A9:A11"/>
    <mergeCell ref="A12:A14"/>
    <mergeCell ref="A16:A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4621-F791-44F9-897F-0622B3EC471B}">
  <dimension ref="A1:E5"/>
  <sheetViews>
    <sheetView workbookViewId="0">
      <selection activeCell="D7" sqref="D7"/>
    </sheetView>
  </sheetViews>
  <sheetFormatPr defaultRowHeight="15.6"/>
  <cols>
    <col min="1" max="1" width="24.875" customWidth="1"/>
  </cols>
  <sheetData>
    <row r="1" spans="1:5">
      <c r="A1" s="8"/>
      <c r="B1" s="64" t="s">
        <v>138</v>
      </c>
      <c r="C1" s="64"/>
      <c r="D1" s="64"/>
      <c r="E1" s="64"/>
    </row>
    <row r="2" spans="1:5">
      <c r="A2" s="9"/>
      <c r="B2" s="10" t="s">
        <v>5</v>
      </c>
      <c r="C2" s="10" t="s">
        <v>139</v>
      </c>
      <c r="D2" s="10" t="s">
        <v>7</v>
      </c>
      <c r="E2" s="10" t="s">
        <v>8</v>
      </c>
    </row>
    <row r="3" spans="1:5">
      <c r="A3" s="11" t="s">
        <v>140</v>
      </c>
      <c r="B3" s="12">
        <v>0.17</v>
      </c>
      <c r="C3" s="12">
        <v>0.23</v>
      </c>
      <c r="D3" s="12">
        <v>0.25</v>
      </c>
      <c r="E3" s="12">
        <v>0.35</v>
      </c>
    </row>
    <row r="4" spans="1:5">
      <c r="A4" s="11" t="s">
        <v>141</v>
      </c>
      <c r="B4" s="12">
        <v>0.1</v>
      </c>
      <c r="C4" s="12">
        <v>0.21</v>
      </c>
      <c r="D4" s="12">
        <v>0.3</v>
      </c>
      <c r="E4" s="12">
        <v>0.39</v>
      </c>
    </row>
    <row r="5" spans="1:5">
      <c r="A5" s="11" t="s">
        <v>142</v>
      </c>
      <c r="B5" s="12">
        <v>0.05</v>
      </c>
      <c r="C5" s="12">
        <v>0.15</v>
      </c>
      <c r="D5" s="12">
        <v>0.2</v>
      </c>
      <c r="E5" s="12">
        <v>0.6</v>
      </c>
    </row>
  </sheetData>
  <mergeCells count="1">
    <mergeCell ref="B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0232e1f-123a-43d1-921b-7c05729cf17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4C29C17E9AEA4CB48B504ECDD326F6" ma:contentTypeVersion="13" ma:contentTypeDescription="Create a new document." ma:contentTypeScope="" ma:versionID="bbcee55541c60a67ae91fde6cd5b9535">
  <xsd:schema xmlns:xsd="http://www.w3.org/2001/XMLSchema" xmlns:xs="http://www.w3.org/2001/XMLSchema" xmlns:p="http://schemas.microsoft.com/office/2006/metadata/properties" xmlns:ns3="e0232e1f-123a-43d1-921b-7c05729cf17c" targetNamespace="http://schemas.microsoft.com/office/2006/metadata/properties" ma:root="true" ma:fieldsID="a4621de01236b0f54131317d0d7f10a2" ns3:_="">
    <xsd:import namespace="e0232e1f-123a-43d1-921b-7c05729cf1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32e1f-123a-43d1-921b-7c05729cf1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8C4767-4D22-45B1-BCBF-E6BA997C4D9A}"/>
</file>

<file path=customXml/itemProps2.xml><?xml version="1.0" encoding="utf-8"?>
<ds:datastoreItem xmlns:ds="http://schemas.openxmlformats.org/officeDocument/2006/customXml" ds:itemID="{72985BAC-01DD-4D79-81D2-7D306B72EA06}"/>
</file>

<file path=customXml/itemProps3.xml><?xml version="1.0" encoding="utf-8"?>
<ds:datastoreItem xmlns:ds="http://schemas.openxmlformats.org/officeDocument/2006/customXml" ds:itemID="{56308CB8-6F41-47A1-A7FA-F6896EEA67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ERK</dc:creator>
  <cp:keywords/>
  <dc:description/>
  <cp:lastModifiedBy>Jen Martinson</cp:lastModifiedBy>
  <cp:revision/>
  <dcterms:created xsi:type="dcterms:W3CDTF">2026-02-19T16:21:33Z</dcterms:created>
  <dcterms:modified xsi:type="dcterms:W3CDTF">2026-06-18T15:36:39Z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0x010100F94C29C17E9AEA4CB48B504ECDD326F6</vt:lpwstr>
  </property>
</Properties>
</file>