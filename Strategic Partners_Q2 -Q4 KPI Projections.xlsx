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jennifer_martinson1_ibm_com/Documents/Martinson files One Drive IBM/Metrics/KPI Entries/Q2 KPI Projections/"/>
    </mc:Choice>
  </mc:AlternateContent>
  <xr:revisionPtr revIDLastSave="359" documentId="8_{90493530-E1D6-4FED-BA36-52670593ADE9}" xr6:coauthVersionLast="47" xr6:coauthVersionMax="47" xr10:uidLastSave="{CD34A697-30FF-4636-97E1-EFE33BCB06D1}"/>
  <bookViews>
    <workbookView xWindow="9816" yWindow="456" windowWidth="13224" windowHeight="13224" firstSheet="1" activeTab="2" xr2:uid="{34DAB5B8-0534-154D-B765-6F9AFE0242E3}"/>
  </bookViews>
  <sheets>
    <sheet name="Q2 Projections" sheetId="2" r:id="rId1"/>
    <sheet name="Q3 Projections" sheetId="5" r:id="rId2"/>
    <sheet name="Q4 Projections" sheetId="6" r:id="rId3"/>
    <sheet name="Sheet2" sheetId="4" r:id="rId4"/>
    <sheet name="Options for KPI UT Levels" sheetId="1" r:id="rId5"/>
    <sheet name="Sheet1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" l="1"/>
  <c r="H9" i="5"/>
  <c r="G9" i="5"/>
  <c r="F9" i="5"/>
  <c r="E9" i="5"/>
  <c r="I8" i="5"/>
  <c r="H8" i="5"/>
  <c r="G8" i="5"/>
  <c r="F8" i="5"/>
  <c r="E8" i="5"/>
  <c r="H3" i="6"/>
  <c r="H4" i="6"/>
  <c r="H5" i="6"/>
  <c r="H6" i="6"/>
  <c r="E5" i="6"/>
  <c r="E4" i="6"/>
  <c r="E3" i="6"/>
  <c r="E6" i="6"/>
  <c r="G5" i="6"/>
  <c r="G4" i="6"/>
  <c r="G3" i="6"/>
  <c r="F5" i="6"/>
  <c r="F4" i="6"/>
  <c r="F3" i="6"/>
  <c r="F6" i="6"/>
  <c r="G6" i="6"/>
  <c r="H6" i="5"/>
  <c r="G6" i="5"/>
  <c r="F6" i="5"/>
  <c r="E6" i="5"/>
  <c r="I6" i="5"/>
  <c r="G5" i="5"/>
  <c r="H5" i="5"/>
  <c r="F5" i="5"/>
  <c r="E5" i="5"/>
  <c r="I5" i="5"/>
  <c r="I4" i="5"/>
  <c r="I3" i="5"/>
  <c r="I16" i="2"/>
  <c r="G15" i="2"/>
  <c r="F11" i="2"/>
  <c r="E11" i="2"/>
  <c r="G11" i="2"/>
  <c r="H11" i="2"/>
  <c r="E3" i="2"/>
  <c r="F3" i="2"/>
  <c r="G3" i="2"/>
  <c r="H3" i="2"/>
  <c r="F8" i="2"/>
  <c r="E8" i="2"/>
  <c r="H8" i="2"/>
  <c r="G8" i="2"/>
  <c r="H7" i="2"/>
  <c r="G7" i="2"/>
  <c r="F7" i="2"/>
  <c r="E7" i="2"/>
  <c r="H15" i="2"/>
  <c r="F15" i="2"/>
  <c r="H6" i="2"/>
  <c r="I5" i="2"/>
  <c r="I15" i="2"/>
  <c r="I14" i="2"/>
  <c r="I13" i="2"/>
  <c r="I12" i="2"/>
  <c r="I11" i="2"/>
  <c r="I10" i="2"/>
  <c r="I9" i="2"/>
  <c r="I7" i="2"/>
  <c r="I6" i="2"/>
  <c r="I4" i="2"/>
  <c r="I3" i="2"/>
  <c r="I8" i="2" l="1"/>
</calcChain>
</file>

<file path=xl/sharedStrings.xml><?xml version="1.0" encoding="utf-8"?>
<sst xmlns="http://schemas.openxmlformats.org/spreadsheetml/2006/main" count="200" uniqueCount="124">
  <si>
    <t>Strategic Partner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</si>
  <si>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</si>
  <si>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</si>
  <si>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</si>
  <si>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</si>
  <si>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</si>
  <si>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</si>
  <si>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</si>
  <si>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</si>
  <si>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Totals</t>
  </si>
  <si>
    <t>AWS Life Sciences Symposium</t>
  </si>
  <si>
    <t>3REE95MB</t>
  </si>
  <si>
    <t>Strategy &amp; Technology</t>
  </si>
  <si>
    <t>Hybrid Cloud &amp; Data</t>
  </si>
  <si>
    <t>Google Cloud Next 2026 - Surround Breakfast</t>
  </si>
  <si>
    <t>XK6IHNMB</t>
  </si>
  <si>
    <t>Automation Platform</t>
  </si>
  <si>
    <t>Technology Business Management</t>
  </si>
  <si>
    <t>ServiceNow: Knowledge26</t>
  </si>
  <si>
    <t>OFX15XMB</t>
  </si>
  <si>
    <t>Business Applications</t>
  </si>
  <si>
    <t>AWS Financial Services Symposium 2026: NYC</t>
  </si>
  <si>
    <t>EMXNXRMB</t>
  </si>
  <si>
    <t>SAPPHIRE - AWS Surround Event</t>
  </si>
  <si>
    <t>UZGPV2MB</t>
  </si>
  <si>
    <t>Palo Alto Ignite - New York</t>
  </si>
  <si>
    <t>UNKNVDMB</t>
  </si>
  <si>
    <t>Intelligent Operations</t>
  </si>
  <si>
    <t>Cybersecurity</t>
  </si>
  <si>
    <t>Microsoft AI Tour - Houston</t>
  </si>
  <si>
    <t>FK3HLEMB</t>
  </si>
  <si>
    <t>Strategy &amp; Transformation</t>
  </si>
  <si>
    <t>AWS Summit 2026: NYC</t>
  </si>
  <si>
    <t>C0AOG6MB</t>
  </si>
  <si>
    <t>Gartner C-Level Communities CIO Summit Boardroom - Denver - Q2  (Microsoft Partnership)</t>
  </si>
  <si>
    <t>V7FHMFMB</t>
  </si>
  <si>
    <t>Gartner C-Level Communities CIO Summit Boardroom - NYC - Q2  (AWS Partnership)</t>
  </si>
  <si>
    <t>4R2XLGMB</t>
  </si>
  <si>
    <t>Palo Alto Ignite - Dallas</t>
  </si>
  <si>
    <t>XA4P3AMB</t>
  </si>
  <si>
    <t>AWS Summit 2026: DC</t>
  </si>
  <si>
    <t>PU7MRJMB</t>
  </si>
  <si>
    <t xml:space="preserve">Q2 IBM + Microsoft Fortune lunch CIO/CTO/CDO - date tbd - EHZ1QRMB
</t>
  </si>
  <si>
    <t>EHZ1QRMB</t>
  </si>
  <si>
    <t>Strategic Partner Q3 2026 KPI Projections</t>
  </si>
  <si>
    <t>AWS Blend Community Event - Technology</t>
  </si>
  <si>
    <t>V055OXMB</t>
  </si>
  <si>
    <t>Application Development &amp; Integration</t>
  </si>
  <si>
    <t>Microsoft Blend Community Event - Technology</t>
  </si>
  <si>
    <t>K52GFHMB</t>
  </si>
  <si>
    <t>Infrastructure Automation</t>
  </si>
  <si>
    <t>AWS Energy Symposium 2026</t>
  </si>
  <si>
    <t>YOI7VKMB</t>
  </si>
  <si>
    <t>Surrounding - AWS Energy Symposium 2026</t>
  </si>
  <si>
    <t>B7KXBHMB</t>
  </si>
  <si>
    <t>IBM | Google Spec-Coding / Agentic AI Workshop</t>
  </si>
  <si>
    <t>Z39294MB</t>
  </si>
  <si>
    <t>3Q26 IDC Virtual Roundtable - Hashicorp &amp; AWS (date tbc)</t>
  </si>
  <si>
    <t>K0QEDBMB</t>
  </si>
  <si>
    <t>IBM &amp; Google Client</t>
  </si>
  <si>
    <t>VDUN3LMB</t>
  </si>
  <si>
    <t>SAP Connect 2026</t>
  </si>
  <si>
    <t>II9O7IMB</t>
  </si>
  <si>
    <t>Women in Utilities Dinner</t>
  </si>
  <si>
    <t>RYFXUNMB</t>
  </si>
  <si>
    <t>SAP for Utilities</t>
  </si>
  <si>
    <t>9WE7UAMB</t>
  </si>
  <si>
    <t>SAP for Utilities Reception</t>
  </si>
  <si>
    <t>PEQIGLMB</t>
  </si>
  <si>
    <t>Security Threat Management</t>
  </si>
  <si>
    <t>Data Platform</t>
  </si>
  <si>
    <t>AI Productivity</t>
  </si>
  <si>
    <t>AI/ML Ops</t>
  </si>
  <si>
    <t>Data Fabric</t>
  </si>
  <si>
    <t>Application Operations</t>
  </si>
  <si>
    <t>Business Operations</t>
  </si>
  <si>
    <t>Power HW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</si>
  <si>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</si>
  <si>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</si>
  <si>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</si>
  <si>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</si>
  <si>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</si>
  <si>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</si>
  <si>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</si>
  <si>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</si>
  <si>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</si>
  <si>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</si>
  <si>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Quantum</t>
  </si>
  <si>
    <t>Quantum Market</t>
  </si>
  <si>
    <t>Storage HW</t>
  </si>
  <si>
    <t>Storage Networking Market</t>
  </si>
  <si>
    <t>Storage Operations / Services Market</t>
  </si>
  <si>
    <t>Storage Tape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</si>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</sst>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"/>
    <numFmt numFmtId="165" formatCode="_(* #,##0.0000_);_(* \(#,##0.0000\);_(* &quot;-&quot;??_);_(@_)"/>
    <numFmt numFmtId="166" formatCode="_(* #,##0_);_(* \(#,##0\);_(* &quot;-&quot;??_);_(@_)"/>
    <numFmt numFmtId="167" formatCode="_([$$-409]* #,##0_);_([$$-409]* \(#,##0\);_([$$-409]* &quot;-&quot;??_);_(@_)"/>
    <numFmt numFmtId="168" formatCode="_([$$-409]* #,##0.00_);_([$$-409]* \(#,##0.00\);_([$$-409]* &quot;-&quot;??_);_(@_)"/>
  </numFmts>
  <fonts count="13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2"/>
      <color rgb="FF000000"/>
      <name val="Aptos Narrow"/>
      <family val="2"/>
    </font>
    <font>
      <sz val="12"/>
      <color rgb="FFFF0000"/>
      <name val="Aptos Narrow"/>
      <family val="2"/>
      <scheme val="minor"/>
    </font>
    <font>
      <sz val="10.5"/>
      <color rgb="FF343334"/>
      <name val="IBM Plex Sans"/>
      <family val="2"/>
    </font>
    <font>
      <sz val="12"/>
      <color rgb="FF000000"/>
      <name val="Aptos Narrow"/>
      <family val="2"/>
      <scheme val="minor"/>
    </font>
    <font>
      <sz val="12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0" fontId="8" fillId="0" borderId="2" xfId="0" applyFont="1" applyFill="1" applyBorder="1" applyAlignment="1"/>
    <xf numFmtId="0" fontId="0" fillId="6" borderId="2" xfId="0" applyFill="1" applyBorder="1"/>
    <xf numFmtId="6" fontId="0" fillId="0" borderId="2" xfId="0" applyNumberFormat="1" applyBorder="1"/>
    <xf numFmtId="6" fontId="0" fillId="6" borderId="2" xfId="0" applyNumberFormat="1" applyFill="1" applyBorder="1"/>
    <xf numFmtId="6" fontId="0" fillId="7" borderId="2" xfId="0" applyNumberFormat="1" applyFill="1" applyBorder="1"/>
    <xf numFmtId="164" fontId="0" fillId="0" borderId="2" xfId="0" applyNumberFormat="1" applyBorder="1"/>
    <xf numFmtId="0" fontId="9" fillId="0" borderId="2" xfId="0" applyFont="1" applyBorder="1"/>
    <xf numFmtId="0" fontId="9" fillId="0" borderId="2" xfId="0" applyFont="1" applyFill="1" applyBorder="1"/>
    <xf numFmtId="0" fontId="10" fillId="0" borderId="4" xfId="0" applyFont="1" applyFill="1" applyBorder="1" applyAlignment="1"/>
    <xf numFmtId="165" fontId="0" fillId="0" borderId="2" xfId="0" applyNumberFormat="1" applyBorder="1"/>
    <xf numFmtId="166" fontId="0" fillId="0" borderId="2" xfId="0" applyNumberFormat="1" applyBorder="1"/>
    <xf numFmtId="0" fontId="0" fillId="6" borderId="2" xfId="0" applyFont="1" applyFill="1" applyBorder="1"/>
    <xf numFmtId="0" fontId="11" fillId="6" borderId="2" xfId="0" applyFont="1" applyFill="1" applyBorder="1"/>
    <xf numFmtId="0" fontId="0" fillId="0" borderId="2" xfId="0" applyBorder="1" applyAlignment="1">
      <alignment wrapText="1"/>
    </xf>
    <xf numFmtId="0" fontId="0" fillId="0" borderId="2" xfId="0" applyFill="1" applyBorder="1"/>
    <xf numFmtId="166" fontId="0" fillId="0" borderId="2" xfId="0" applyNumberFormat="1" applyFill="1" applyBorder="1"/>
    <xf numFmtId="6" fontId="0" fillId="0" borderId="2" xfId="0" applyNumberFormat="1" applyFill="1" applyBorder="1"/>
    <xf numFmtId="0" fontId="0" fillId="0" borderId="0" xfId="0" applyFill="1"/>
    <xf numFmtId="0" fontId="11" fillId="0" borderId="2" xfId="0" applyFont="1" applyFill="1" applyBorder="1"/>
    <xf numFmtId="165" fontId="0" fillId="0" borderId="2" xfId="0" applyNumberFormat="1" applyFill="1" applyBorder="1"/>
    <xf numFmtId="0" fontId="0" fillId="0" borderId="2" xfId="0" applyFill="1" applyBorder="1" applyAlignment="1">
      <alignment wrapText="1"/>
    </xf>
    <xf numFmtId="167" fontId="0" fillId="0" borderId="2" xfId="0" applyNumberFormat="1" applyFill="1" applyBorder="1"/>
    <xf numFmtId="0" fontId="0" fillId="7" borderId="2" xfId="0" applyFill="1" applyBorder="1"/>
    <xf numFmtId="168" fontId="0" fillId="0" borderId="2" xfId="0" applyNumberFormat="1" applyBorder="1"/>
    <xf numFmtId="0" fontId="4" fillId="0" borderId="5" xfId="0" applyFont="1" applyBorder="1"/>
    <xf numFmtId="0" fontId="0" fillId="0" borderId="5" xfId="0" applyBorder="1"/>
    <xf numFmtId="0" fontId="5" fillId="3" borderId="6" xfId="0" applyFont="1" applyFill="1" applyBorder="1"/>
    <xf numFmtId="0" fontId="0" fillId="8" borderId="5" xfId="0" applyFill="1" applyBorder="1"/>
    <xf numFmtId="0" fontId="10" fillId="8" borderId="4" xfId="0" applyFont="1" applyFill="1" applyBorder="1" applyAlignment="1"/>
    <xf numFmtId="0" fontId="0" fillId="8" borderId="2" xfId="0" applyFill="1" applyBorder="1"/>
    <xf numFmtId="0" fontId="0" fillId="8" borderId="0" xfId="0" applyFill="1"/>
    <xf numFmtId="0" fontId="0" fillId="7" borderId="2" xfId="0" applyFont="1" applyFill="1" applyBorder="1"/>
    <xf numFmtId="0" fontId="2" fillId="0" borderId="1" xfId="0" applyFont="1" applyBorder="1" applyAlignment="1">
      <alignment horizontal="left" vertical="center"/>
    </xf>
    <xf numFmtId="0" fontId="0" fillId="2" borderId="2" xfId="0" applyFill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12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J16"/>
  <sheetViews>
    <sheetView workbookViewId="0">
      <selection activeCell="C8" sqref="C8:D8"/>
    </sheetView>
  </sheetViews>
  <sheetFormatPr defaultColWidth="8.75" defaultRowHeight="15.75"/>
  <cols>
    <col min="1" max="1" width="35.875" style="5" customWidth="1"/>
    <col min="2" max="2" width="19.375" style="5" customWidth="1"/>
    <col min="3" max="4" width="24.5" style="5" customWidth="1"/>
    <col min="5" max="8" width="18.125" style="5" customWidth="1"/>
    <col min="9" max="9" width="13.75" style="5" customWidth="1"/>
    <col min="10" max="16384" width="8.75" style="5"/>
  </cols>
  <sheetData>
    <row r="1" spans="1:10" s="6" customFormat="1" ht="21">
      <c r="A1" s="6" t="s">
        <v>0</v>
      </c>
    </row>
    <row r="2" spans="1:10" s="7" customForma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10">
      <c r="A3" s="5" t="s">
        <v>10</v>
      </c>
      <c r="B3" s="14" t="s">
        <v>11</v>
      </c>
      <c r="C3" s="21" t="s">
        <v>12</v>
      </c>
      <c r="D3" s="13" t="s">
        <v>13</v>
      </c>
      <c r="E3" s="23">
        <f>10000000*0.1</f>
        <v>1000000</v>
      </c>
      <c r="F3" s="23">
        <f>10000000*0.3</f>
        <v>3000000</v>
      </c>
      <c r="G3" s="23">
        <f>10000000*0.4</f>
        <v>4000000</v>
      </c>
      <c r="H3" s="23">
        <f>10000000*0.2</f>
        <v>2000000</v>
      </c>
      <c r="I3" s="16">
        <f>SUM(E3:H3)</f>
        <v>10000000</v>
      </c>
    </row>
    <row r="4" spans="1:10">
      <c r="A4" s="14" t="s">
        <v>14</v>
      </c>
      <c r="B4" s="14" t="s">
        <v>15</v>
      </c>
      <c r="C4" s="5" t="s">
        <v>16</v>
      </c>
      <c r="D4" s="5" t="s">
        <v>17</v>
      </c>
      <c r="E4" s="15">
        <v>15716</v>
      </c>
      <c r="F4" s="15">
        <v>21262</v>
      </c>
      <c r="G4" s="15">
        <v>23111</v>
      </c>
      <c r="H4" s="15">
        <v>32355</v>
      </c>
      <c r="I4" s="16">
        <f>SUM(E4:H4)</f>
        <v>92444</v>
      </c>
    </row>
    <row r="5" spans="1:10">
      <c r="A5" s="14" t="s">
        <v>14</v>
      </c>
      <c r="B5" s="14" t="s">
        <v>15</v>
      </c>
      <c r="C5" s="5" t="s">
        <v>12</v>
      </c>
      <c r="D5" s="13" t="s">
        <v>13</v>
      </c>
      <c r="E5" s="15">
        <v>3467</v>
      </c>
      <c r="F5" s="15">
        <v>10400</v>
      </c>
      <c r="G5" s="15">
        <v>13867</v>
      </c>
      <c r="H5" s="15">
        <v>41600</v>
      </c>
      <c r="I5" s="16">
        <f>SUM(E5:H5)</f>
        <v>69334</v>
      </c>
    </row>
    <row r="6" spans="1:10">
      <c r="A6" s="5" t="s">
        <v>18</v>
      </c>
      <c r="B6" s="14" t="s">
        <v>19</v>
      </c>
      <c r="C6" s="5" t="s">
        <v>12</v>
      </c>
      <c r="D6" s="5" t="s">
        <v>20</v>
      </c>
      <c r="E6" s="18">
        <v>1800000</v>
      </c>
      <c r="F6" s="18">
        <v>3600000</v>
      </c>
      <c r="G6" s="18">
        <v>9000000</v>
      </c>
      <c r="H6" s="18">
        <f>18000000-14400000</f>
        <v>3600000</v>
      </c>
      <c r="I6" s="16">
        <f>SUM(E6:H6)</f>
        <v>18000000</v>
      </c>
    </row>
    <row r="7" spans="1:10">
      <c r="A7" s="5" t="s">
        <v>21</v>
      </c>
      <c r="B7" s="14" t="s">
        <v>22</v>
      </c>
      <c r="C7" s="21" t="s">
        <v>12</v>
      </c>
      <c r="D7" s="13" t="s">
        <v>13</v>
      </c>
      <c r="E7" s="23">
        <f>10000000*0.1</f>
        <v>1000000</v>
      </c>
      <c r="F7" s="23">
        <f>10000000*0.3</f>
        <v>3000000</v>
      </c>
      <c r="G7" s="23">
        <f>10000000*0.4</f>
        <v>4000000</v>
      </c>
      <c r="H7" s="23">
        <f>10000000*0.2</f>
        <v>2000000</v>
      </c>
      <c r="I7" s="16">
        <f>SUM(E7:H7)</f>
        <v>10000000</v>
      </c>
    </row>
    <row r="8" spans="1:10">
      <c r="A8" s="5" t="s">
        <v>23</v>
      </c>
      <c r="B8" s="14" t="s">
        <v>24</v>
      </c>
      <c r="C8" s="21" t="s">
        <v>12</v>
      </c>
      <c r="D8" s="5" t="s">
        <v>20</v>
      </c>
      <c r="E8" s="23">
        <f>1500000*0.1</f>
        <v>150000</v>
      </c>
      <c r="F8" s="23">
        <f>1500000*0.3</f>
        <v>450000</v>
      </c>
      <c r="G8" s="23">
        <f>1000000*0.4</f>
        <v>400000</v>
      </c>
      <c r="H8" s="23">
        <f>1000000*0.2</f>
        <v>200000</v>
      </c>
      <c r="I8" s="16">
        <f>SUM(E8:H8)</f>
        <v>1200000</v>
      </c>
    </row>
    <row r="9" spans="1:10">
      <c r="A9" s="5" t="s">
        <v>25</v>
      </c>
      <c r="B9" s="24" t="s">
        <v>26</v>
      </c>
      <c r="C9" s="5" t="s">
        <v>27</v>
      </c>
      <c r="D9" s="5" t="s">
        <v>28</v>
      </c>
      <c r="E9" s="15">
        <v>2450</v>
      </c>
      <c r="F9" s="15">
        <v>7350</v>
      </c>
      <c r="G9" s="15">
        <v>9800</v>
      </c>
      <c r="H9" s="15">
        <v>29400</v>
      </c>
      <c r="I9" s="16">
        <f>SUM(E9:H9)</f>
        <v>49000</v>
      </c>
      <c r="J9" s="19"/>
    </row>
    <row r="10" spans="1:10">
      <c r="A10" s="5" t="s">
        <v>29</v>
      </c>
      <c r="B10" s="14" t="s">
        <v>30</v>
      </c>
      <c r="C10" s="5" t="s">
        <v>12</v>
      </c>
      <c r="D10" s="5" t="s">
        <v>31</v>
      </c>
      <c r="E10" s="5">
        <v>458540</v>
      </c>
      <c r="F10" s="5">
        <v>1375621</v>
      </c>
      <c r="G10" s="5">
        <v>1834161</v>
      </c>
      <c r="H10" s="5">
        <v>5502483</v>
      </c>
      <c r="I10" s="17">
        <f>SUM(E10:H10)</f>
        <v>9170805</v>
      </c>
    </row>
    <row r="11" spans="1:10">
      <c r="A11" s="5" t="s">
        <v>32</v>
      </c>
      <c r="B11" s="14" t="s">
        <v>33</v>
      </c>
      <c r="C11" s="21" t="s">
        <v>12</v>
      </c>
      <c r="D11" s="13" t="s">
        <v>13</v>
      </c>
      <c r="E11" s="23">
        <f>9000000*0.1</f>
        <v>900000</v>
      </c>
      <c r="F11" s="23">
        <f>9000000*0.3</f>
        <v>2700000</v>
      </c>
      <c r="G11" s="23">
        <f>10000000*0.4</f>
        <v>4000000</v>
      </c>
      <c r="H11" s="23">
        <f>10000000*0.2</f>
        <v>2000000</v>
      </c>
      <c r="I11" s="16">
        <f>SUM(E11:H11)</f>
        <v>9600000</v>
      </c>
    </row>
    <row r="12" spans="1:10">
      <c r="A12" s="14" t="s">
        <v>34</v>
      </c>
      <c r="B12" s="14" t="s">
        <v>35</v>
      </c>
      <c r="C12" s="5" t="s">
        <v>16</v>
      </c>
      <c r="D12" s="5" t="s">
        <v>17</v>
      </c>
      <c r="E12" s="15">
        <v>59588</v>
      </c>
      <c r="F12" s="15">
        <v>80619</v>
      </c>
      <c r="G12" s="15">
        <v>87630</v>
      </c>
      <c r="H12" s="15">
        <v>122682</v>
      </c>
      <c r="I12" s="16">
        <f>SUM(E12:H12)</f>
        <v>350519</v>
      </c>
    </row>
    <row r="13" spans="1:10">
      <c r="A13" s="14" t="s">
        <v>36</v>
      </c>
      <c r="B13" s="14" t="s">
        <v>37</v>
      </c>
      <c r="C13" s="5" t="s">
        <v>16</v>
      </c>
      <c r="D13" s="5" t="s">
        <v>17</v>
      </c>
      <c r="E13" s="15">
        <v>59588</v>
      </c>
      <c r="F13" s="15">
        <v>80619</v>
      </c>
      <c r="G13" s="15">
        <v>87630</v>
      </c>
      <c r="H13" s="15">
        <v>122682</v>
      </c>
      <c r="I13" s="16">
        <f>SUM(E13:H13)</f>
        <v>350519</v>
      </c>
    </row>
    <row r="14" spans="1:10">
      <c r="A14" s="5" t="s">
        <v>38</v>
      </c>
      <c r="B14" s="25" t="s">
        <v>39</v>
      </c>
      <c r="C14" s="5" t="s">
        <v>27</v>
      </c>
      <c r="D14" s="14" t="s">
        <v>28</v>
      </c>
      <c r="E14" s="15">
        <v>2450</v>
      </c>
      <c r="F14" s="15">
        <v>7350</v>
      </c>
      <c r="G14" s="15">
        <v>9800</v>
      </c>
      <c r="H14" s="15">
        <v>29400</v>
      </c>
      <c r="I14" s="16">
        <f>SUM(E14:H14)</f>
        <v>49000</v>
      </c>
      <c r="J14" s="19"/>
    </row>
    <row r="15" spans="1:10">
      <c r="A15" s="5" t="s">
        <v>40</v>
      </c>
      <c r="B15" s="14" t="s">
        <v>41</v>
      </c>
      <c r="C15" s="21" t="s">
        <v>12</v>
      </c>
      <c r="D15" s="13" t="s">
        <v>13</v>
      </c>
      <c r="E15" s="22">
        <v>0</v>
      </c>
      <c r="F15" s="23">
        <f>50000000*0.15</f>
        <v>7500000</v>
      </c>
      <c r="G15" s="23">
        <f>45000000*0.5</f>
        <v>22500000</v>
      </c>
      <c r="H15" s="23">
        <f>50000000*0.35</f>
        <v>17500000</v>
      </c>
      <c r="I15" s="16">
        <f>SUM(E15:H15)</f>
        <v>47500000</v>
      </c>
    </row>
    <row r="16" spans="1:10" ht="46.5">
      <c r="A16" s="26" t="s">
        <v>42</v>
      </c>
      <c r="B16" s="35" t="s">
        <v>43</v>
      </c>
      <c r="C16" s="5" t="s">
        <v>12</v>
      </c>
      <c r="D16" s="5" t="s">
        <v>13</v>
      </c>
      <c r="E16" s="5">
        <v>16800</v>
      </c>
      <c r="F16" s="5">
        <v>50400</v>
      </c>
      <c r="G16" s="5">
        <v>67200</v>
      </c>
      <c r="H16" s="5">
        <v>201600</v>
      </c>
      <c r="I16" s="5">
        <f>SUM(E16:H16)</f>
        <v>336000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C12:C14 C4:C6 C9:C10 C16 C20:C458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D6 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BA76-B8B9-406D-8DAA-738A11410B2A}">
  <sheetPr>
    <tabColor rgb="FF92D050"/>
  </sheetPr>
  <dimension ref="A1:J17"/>
  <sheetViews>
    <sheetView workbookViewId="0">
      <selection activeCell="B9" sqref="B9"/>
    </sheetView>
  </sheetViews>
  <sheetFormatPr defaultColWidth="44.375" defaultRowHeight="15.75"/>
  <cols>
    <col min="1" max="1" width="30.5" customWidth="1"/>
    <col min="2" max="2" width="15.75" customWidth="1"/>
    <col min="3" max="3" width="24" customWidth="1"/>
    <col min="4" max="4" width="31.25" customWidth="1"/>
    <col min="5" max="11" width="15.75" customWidth="1"/>
  </cols>
  <sheetData>
    <row r="1" spans="1:10" ht="21">
      <c r="A1" s="6" t="s">
        <v>44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/>
    </row>
    <row r="3" spans="1:10" s="30" customFormat="1">
      <c r="A3" s="27" t="s">
        <v>45</v>
      </c>
      <c r="B3" s="35" t="s">
        <v>46</v>
      </c>
      <c r="C3" s="27" t="s">
        <v>16</v>
      </c>
      <c r="D3" s="13" t="s">
        <v>47</v>
      </c>
      <c r="E3" s="34">
        <v>164893</v>
      </c>
      <c r="F3" s="34">
        <v>223091</v>
      </c>
      <c r="G3" s="34">
        <v>242490</v>
      </c>
      <c r="H3" s="34">
        <v>339486</v>
      </c>
      <c r="I3" s="34">
        <f>SUM(E3:H3)</f>
        <v>969960</v>
      </c>
      <c r="J3" s="27"/>
    </row>
    <row r="4" spans="1:10" s="30" customFormat="1">
      <c r="A4" s="27" t="s">
        <v>48</v>
      </c>
      <c r="B4" s="35" t="s">
        <v>49</v>
      </c>
      <c r="C4" s="27" t="s">
        <v>16</v>
      </c>
      <c r="D4" s="27" t="s">
        <v>50</v>
      </c>
      <c r="E4" s="34">
        <v>164893</v>
      </c>
      <c r="F4" s="34">
        <v>223091</v>
      </c>
      <c r="G4" s="34">
        <v>242490</v>
      </c>
      <c r="H4" s="34">
        <v>339486</v>
      </c>
      <c r="I4" s="34">
        <f>SUM(E4:H4)</f>
        <v>969960</v>
      </c>
      <c r="J4" s="27"/>
    </row>
    <row r="5" spans="1:10" s="30" customFormat="1">
      <c r="A5" s="5" t="s">
        <v>51</v>
      </c>
      <c r="B5" s="35" t="s">
        <v>52</v>
      </c>
      <c r="C5" s="5" t="s">
        <v>12</v>
      </c>
      <c r="D5" s="5" t="s">
        <v>13</v>
      </c>
      <c r="E5" s="23">
        <f>8000000*0.1</f>
        <v>800000</v>
      </c>
      <c r="F5" s="23">
        <f>8000000*0.3</f>
        <v>2400000</v>
      </c>
      <c r="G5" s="23">
        <f>8000000*0.4</f>
        <v>3200000</v>
      </c>
      <c r="H5" s="23">
        <f>800000*0.2</f>
        <v>160000</v>
      </c>
      <c r="I5" s="16">
        <f>SUM(E5:H5)</f>
        <v>6560000</v>
      </c>
      <c r="J5" s="5"/>
    </row>
    <row r="6" spans="1:10" s="30" customFormat="1">
      <c r="A6" s="5" t="s">
        <v>53</v>
      </c>
      <c r="B6" s="35" t="s">
        <v>54</v>
      </c>
      <c r="C6" s="5" t="s">
        <v>12</v>
      </c>
      <c r="D6" s="5" t="s">
        <v>13</v>
      </c>
      <c r="E6" s="23">
        <f>1000000*0.1</f>
        <v>100000</v>
      </c>
      <c r="F6" s="23">
        <f>1000000*0.3</f>
        <v>300000</v>
      </c>
      <c r="G6" s="23">
        <f>1000000*0.4</f>
        <v>400000</v>
      </c>
      <c r="H6" s="23">
        <f>100000*0.2</f>
        <v>20000</v>
      </c>
      <c r="I6" s="16">
        <f>SUM(E6:H6)</f>
        <v>820000</v>
      </c>
      <c r="J6" s="5"/>
    </row>
    <row r="7" spans="1:10" s="30" customFormat="1">
      <c r="A7" s="5" t="s">
        <v>55</v>
      </c>
      <c r="B7" s="35" t="s">
        <v>56</v>
      </c>
      <c r="C7" s="5" t="s">
        <v>12</v>
      </c>
      <c r="D7" s="5" t="s">
        <v>13</v>
      </c>
      <c r="E7" s="36">
        <v>150000</v>
      </c>
      <c r="F7" s="36">
        <v>250000</v>
      </c>
      <c r="G7" s="36">
        <v>500000</v>
      </c>
      <c r="H7" s="36">
        <v>250000</v>
      </c>
      <c r="I7" s="36">
        <v>1150000</v>
      </c>
      <c r="J7" s="5"/>
    </row>
    <row r="8" spans="1:10" s="30" customFormat="1">
      <c r="A8" s="27" t="s">
        <v>57</v>
      </c>
      <c r="B8" s="44" t="s">
        <v>58</v>
      </c>
      <c r="C8" s="27" t="s">
        <v>16</v>
      </c>
      <c r="D8" s="27" t="s">
        <v>50</v>
      </c>
      <c r="E8" s="29">
        <f>8149</f>
        <v>8149</v>
      </c>
      <c r="F8" s="29">
        <f>11025</f>
        <v>11025</v>
      </c>
      <c r="G8" s="29">
        <f>11984</f>
        <v>11984</v>
      </c>
      <c r="H8" s="29">
        <f>16778</f>
        <v>16778</v>
      </c>
      <c r="I8" s="29">
        <f>47936</f>
        <v>47936</v>
      </c>
      <c r="J8" s="20"/>
    </row>
    <row r="9" spans="1:10" s="30" customFormat="1">
      <c r="A9" s="27" t="s">
        <v>59</v>
      </c>
      <c r="B9" s="46" t="s">
        <v>60</v>
      </c>
      <c r="C9" s="27" t="s">
        <v>16</v>
      </c>
      <c r="D9" s="27" t="s">
        <v>50</v>
      </c>
      <c r="E9" s="34">
        <f>63852</f>
        <v>63852</v>
      </c>
      <c r="F9" s="34">
        <f>86387</f>
        <v>86387</v>
      </c>
      <c r="G9" s="34">
        <f>93899</f>
        <v>93899</v>
      </c>
      <c r="H9" s="34">
        <f>131459</f>
        <v>131459</v>
      </c>
      <c r="I9" s="29">
        <f>375597</f>
        <v>375597</v>
      </c>
      <c r="J9" s="27"/>
    </row>
    <row r="10" spans="1:10" s="30" customFormat="1">
      <c r="A10" s="27"/>
      <c r="B10" s="27"/>
      <c r="C10" s="27"/>
      <c r="D10" s="13"/>
      <c r="E10" s="28"/>
      <c r="F10" s="28"/>
      <c r="G10" s="28"/>
      <c r="H10" s="28"/>
      <c r="I10" s="29"/>
      <c r="J10" s="27"/>
    </row>
    <row r="11" spans="1:10" s="30" customFormat="1">
      <c r="A11" s="27"/>
      <c r="B11" s="27"/>
      <c r="C11" s="27"/>
      <c r="D11" s="27"/>
      <c r="E11" s="29"/>
      <c r="F11" s="29"/>
      <c r="G11" s="29"/>
      <c r="H11" s="29"/>
      <c r="I11" s="29"/>
      <c r="J11" s="27"/>
    </row>
    <row r="12" spans="1:10" s="30" customFormat="1">
      <c r="A12" s="27"/>
      <c r="B12" s="27"/>
      <c r="C12" s="27"/>
      <c r="D12" s="27"/>
      <c r="E12" s="29"/>
      <c r="F12" s="29"/>
      <c r="G12" s="29"/>
      <c r="H12" s="29"/>
      <c r="I12" s="29"/>
      <c r="J12" s="27"/>
    </row>
    <row r="13" spans="1:10" s="30" customFormat="1">
      <c r="A13" s="27"/>
      <c r="B13" s="31"/>
      <c r="C13" s="27"/>
      <c r="D13" s="27"/>
      <c r="E13" s="29"/>
      <c r="F13" s="29"/>
      <c r="G13" s="29"/>
      <c r="H13" s="29"/>
      <c r="I13" s="29"/>
      <c r="J13" s="20"/>
    </row>
    <row r="14" spans="1:10" s="30" customFormat="1">
      <c r="A14" s="27"/>
      <c r="B14" s="27"/>
      <c r="C14" s="27"/>
      <c r="D14" s="13"/>
      <c r="E14" s="32"/>
      <c r="F14" s="28"/>
      <c r="G14" s="28"/>
      <c r="H14" s="28"/>
      <c r="I14" s="29"/>
      <c r="J14" s="27"/>
    </row>
    <row r="15" spans="1:10" s="30" customFormat="1">
      <c r="A15" s="33"/>
      <c r="B15" s="27"/>
      <c r="C15" s="27"/>
      <c r="D15" s="27"/>
      <c r="E15" s="27"/>
      <c r="F15" s="27"/>
      <c r="G15" s="27"/>
      <c r="H15" s="27"/>
      <c r="I15" s="27"/>
      <c r="J15" s="27"/>
    </row>
    <row r="16" spans="1:10" s="30" customFormat="1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0" s="30" customFormat="1">
      <c r="A17" s="27"/>
      <c r="B17" s="20"/>
      <c r="C17" s="27"/>
      <c r="D17" s="27"/>
      <c r="E17" s="27"/>
      <c r="F17" s="27"/>
      <c r="G17" s="27"/>
      <c r="H17" s="27"/>
      <c r="I17" s="27"/>
      <c r="J17" s="2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0AC0E4-A6CB-471A-849B-69B12BAD50B0}">
          <x14:formula1>
            <xm:f>'Options for KPI UT Levels'!$B$2:$B$47</xm:f>
          </x14:formula1>
          <xm:sqref>D3</xm:sqref>
        </x14:dataValidation>
        <x14:dataValidation type="list" allowBlank="1" showInputMessage="1" showErrorMessage="1" xr:uid="{292364E2-430A-47C9-BF40-65314DBA3D2E}">
          <x14:formula1>
            <xm:f>'Options for KPI UT Levels'!$A$2:$A$47</xm:f>
          </x14:formula1>
          <xm:sqref>H1 C3:C17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CC26-159B-46C2-B704-1D5303AD55C4}">
  <sheetPr>
    <tabColor rgb="FF00B0F0"/>
  </sheetPr>
  <dimension ref="A1:J6"/>
  <sheetViews>
    <sheetView tabSelected="1" workbookViewId="0">
      <selection activeCell="A13" sqref="A13"/>
    </sheetView>
  </sheetViews>
  <sheetFormatPr defaultRowHeight="15.75"/>
  <cols>
    <col min="1" max="1" width="45.75" customWidth="1"/>
    <col min="2" max="2" width="14.25" customWidth="1"/>
    <col min="3" max="9" width="20.625" customWidth="1"/>
  </cols>
  <sheetData>
    <row r="1" spans="1:10" ht="21">
      <c r="A1" s="39" t="s">
        <v>44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37" t="s">
        <v>9</v>
      </c>
      <c r="J2" s="37"/>
    </row>
    <row r="3" spans="1:10" s="43" customFormat="1">
      <c r="A3" s="40" t="s">
        <v>61</v>
      </c>
      <c r="B3" s="40" t="s">
        <v>62</v>
      </c>
      <c r="C3" s="41" t="s">
        <v>12</v>
      </c>
      <c r="D3" s="42" t="s">
        <v>20</v>
      </c>
      <c r="E3" s="40">
        <f t="shared" ref="E3:E6" si="0">$I3*0.1</f>
        <v>150000</v>
      </c>
      <c r="F3" s="40">
        <f t="shared" ref="F3:F5" si="1">$I3*0.3</f>
        <v>450000</v>
      </c>
      <c r="G3" s="40">
        <f t="shared" ref="G3:G6" si="2">$I3*0.4</f>
        <v>600000</v>
      </c>
      <c r="H3" s="40">
        <f>$I3*0.2</f>
        <v>300000</v>
      </c>
      <c r="I3" s="40">
        <v>1500000</v>
      </c>
      <c r="J3" s="40"/>
    </row>
    <row r="4" spans="1:10">
      <c r="A4" s="38" t="s">
        <v>63</v>
      </c>
      <c r="B4" s="50" t="s">
        <v>64</v>
      </c>
      <c r="C4" s="21" t="s">
        <v>12</v>
      </c>
      <c r="D4" s="5" t="s">
        <v>20</v>
      </c>
      <c r="E4" s="38">
        <f t="shared" si="0"/>
        <v>150000</v>
      </c>
      <c r="F4" s="38">
        <f t="shared" si="1"/>
        <v>450000</v>
      </c>
      <c r="G4" s="38">
        <f t="shared" si="2"/>
        <v>600000</v>
      </c>
      <c r="H4" s="38">
        <f>$I4*0.2</f>
        <v>300000</v>
      </c>
      <c r="I4" s="38">
        <v>1500000</v>
      </c>
      <c r="J4" s="38"/>
    </row>
    <row r="5" spans="1:10" s="43" customFormat="1">
      <c r="A5" s="40" t="s">
        <v>65</v>
      </c>
      <c r="B5" s="40" t="s">
        <v>66</v>
      </c>
      <c r="C5" s="41" t="s">
        <v>12</v>
      </c>
      <c r="D5" s="42" t="s">
        <v>20</v>
      </c>
      <c r="E5" s="40">
        <f t="shared" si="0"/>
        <v>500000</v>
      </c>
      <c r="F5" s="40">
        <f t="shared" si="1"/>
        <v>1500000</v>
      </c>
      <c r="G5" s="40">
        <f t="shared" si="2"/>
        <v>2000000</v>
      </c>
      <c r="H5" s="40">
        <f>$I5*0.2</f>
        <v>1000000</v>
      </c>
      <c r="I5" s="40">
        <v>5000000</v>
      </c>
      <c r="J5" s="40"/>
    </row>
    <row r="6" spans="1:10">
      <c r="A6" s="38" t="s">
        <v>67</v>
      </c>
      <c r="B6" s="50" t="s">
        <v>68</v>
      </c>
      <c r="C6" s="21" t="s">
        <v>12</v>
      </c>
      <c r="D6" s="5" t="s">
        <v>20</v>
      </c>
      <c r="E6" s="38">
        <f>$I6*0.1</f>
        <v>150000</v>
      </c>
      <c r="F6" s="38">
        <f>$I6*0.3</f>
        <v>450000</v>
      </c>
      <c r="G6" s="38">
        <f>$I6*0.4</f>
        <v>600000</v>
      </c>
      <c r="H6" s="38">
        <f>$I6*0.2</f>
        <v>300000</v>
      </c>
      <c r="I6" s="38">
        <v>1500000</v>
      </c>
      <c r="J6" s="3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D8B4FCE-58BF-4943-A88D-1CC254F67E1D}">
          <x14:formula1>
            <xm:f>'Options for KPI UT Levels'!$A$2:$A$47</xm:f>
          </x14:formula1>
          <xm:sqref>H1</xm:sqref>
        </x14:dataValidation>
        <x14:dataValidation type="list" allowBlank="1" showInputMessage="1" showErrorMessage="1" xr:uid="{051F8522-3350-4870-8AE5-5D38DA983786}">
          <x14:formula1>
            <xm:f>'Options for KPI UT Levels'!$B$2:$B$47</xm:f>
          </x14:formula1>
          <xm:sqref>D3:D6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079E-6A27-4BBC-96B8-C3518E565E7E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Normal="100" workbookViewId="0">
      <selection activeCell="B11" sqref="B11"/>
    </sheetView>
  </sheetViews>
  <sheetFormatPr defaultColWidth="10.75" defaultRowHeight="22.15" customHeight="1"/>
  <cols>
    <col min="1" max="1" width="33.5" style="4" bestFit="1" customWidth="1"/>
    <col min="2" max="2" width="47.75" style="2" bestFit="1" customWidth="1"/>
    <col min="3" max="16384" width="10.75" style="2"/>
  </cols>
  <sheetData>
    <row r="1" spans="1:2" ht="22.15" customHeight="1">
      <c r="A1" s="1" t="s">
        <v>3</v>
      </c>
      <c r="B1" s="1" t="s">
        <v>4</v>
      </c>
    </row>
    <row r="2" spans="1:2" ht="22.15" customHeight="1">
      <c r="A2" s="47" t="s">
        <v>16</v>
      </c>
      <c r="B2" s="2" t="s">
        <v>47</v>
      </c>
    </row>
    <row r="3" spans="1:2" ht="22.15" customHeight="1">
      <c r="A3" s="47"/>
      <c r="B3" s="2" t="s">
        <v>50</v>
      </c>
    </row>
    <row r="4" spans="1:2" ht="22.15" customHeight="1">
      <c r="A4" s="47"/>
      <c r="B4" s="2" t="s">
        <v>69</v>
      </c>
    </row>
    <row r="5" spans="1:2" ht="22.15" customHeight="1">
      <c r="A5" s="48"/>
      <c r="B5" s="3" t="s">
        <v>17</v>
      </c>
    </row>
    <row r="6" spans="1:2" ht="22.15" customHeight="1">
      <c r="A6" s="47" t="s">
        <v>70</v>
      </c>
      <c r="B6" s="2" t="s">
        <v>71</v>
      </c>
    </row>
    <row r="7" spans="1:2" ht="22.15" customHeight="1">
      <c r="A7" s="47"/>
      <c r="B7" s="2" t="s">
        <v>72</v>
      </c>
    </row>
    <row r="8" spans="1:2" ht="22.15" customHeight="1">
      <c r="A8" s="48"/>
      <c r="B8" s="3" t="s">
        <v>73</v>
      </c>
    </row>
    <row r="9" spans="1:2" ht="22.15" customHeight="1">
      <c r="A9" s="47" t="s">
        <v>27</v>
      </c>
      <c r="B9" s="2" t="s">
        <v>74</v>
      </c>
    </row>
    <row r="10" spans="1:2" ht="22.15" customHeight="1">
      <c r="A10" s="47"/>
      <c r="B10" s="2" t="s">
        <v>75</v>
      </c>
    </row>
    <row r="11" spans="1:2" ht="22.15" customHeight="1">
      <c r="A11" s="48"/>
      <c r="B11" s="3" t="s">
        <v>28</v>
      </c>
    </row>
    <row r="12" spans="1:2" ht="22.15" customHeight="1">
      <c r="A12" s="47" t="s">
        <v>76</v>
      </c>
      <c r="B12" s="2" t="s">
        <v>77</v>
      </c>
    </row>
    <row r="13" spans="1:2" ht="22.15" customHeight="1">
      <c r="A13" s="47"/>
      <c r="B13" s="2" t="s">
        <v>78</v>
      </c>
    </row>
    <row r="14" spans="1:2" ht="22.15" customHeight="1">
      <c r="A14" s="48"/>
      <c r="B14" s="3" t="s">
        <v>79</v>
      </c>
    </row>
    <row r="15" spans="1:2" ht="22.15" customHeight="1">
      <c r="A15" s="45" t="s">
        <v>80</v>
      </c>
      <c r="B15" s="3" t="s">
        <v>81</v>
      </c>
    </row>
    <row r="16" spans="1:2" ht="22.15" customHeight="1">
      <c r="A16" s="47" t="s">
        <v>82</v>
      </c>
      <c r="B16" s="2" t="s">
        <v>83</v>
      </c>
    </row>
    <row r="17" spans="1:2" ht="22.15" customHeight="1">
      <c r="A17" s="47"/>
      <c r="B17" s="2" t="s">
        <v>84</v>
      </c>
    </row>
    <row r="18" spans="1:2" ht="22.15" customHeight="1">
      <c r="A18" s="47"/>
      <c r="B18" s="2" t="s">
        <v>85</v>
      </c>
    </row>
    <row r="19" spans="1:2" ht="22.15" customHeight="1">
      <c r="A19" s="48"/>
      <c r="B19" s="3" t="s">
        <v>86</v>
      </c>
    </row>
    <row r="20" spans="1:2" ht="22.15" customHeight="1">
      <c r="A20" s="45" t="s">
        <v>87</v>
      </c>
      <c r="B20" s="3" t="s">
        <v>88</v>
      </c>
    </row>
    <row r="21" spans="1:2" ht="22.15" customHeight="1">
      <c r="A21" s="47" t="s">
        <v>12</v>
      </c>
      <c r="B21" s="2" t="s">
        <v>20</v>
      </c>
    </row>
    <row r="22" spans="1:2" ht="22.15" customHeight="1">
      <c r="A22" s="47"/>
      <c r="B22" s="2" t="s">
        <v>13</v>
      </c>
    </row>
    <row r="23" spans="1:2" ht="22.15" customHeight="1">
      <c r="A23" s="48"/>
      <c r="B23" s="3" t="s">
        <v>31</v>
      </c>
    </row>
    <row r="24" spans="1:2" ht="22.15" customHeight="1">
      <c r="A24" s="47" t="s">
        <v>89</v>
      </c>
      <c r="B24" s="2" t="s">
        <v>90</v>
      </c>
    </row>
    <row r="25" spans="1:2" ht="22.15" customHeight="1">
      <c r="A25" s="47"/>
      <c r="B25" s="2" t="s">
        <v>91</v>
      </c>
    </row>
    <row r="26" spans="1:2" ht="22.15" customHeight="1">
      <c r="A26" s="47"/>
      <c r="B26" s="2" t="s">
        <v>92</v>
      </c>
    </row>
    <row r="27" spans="1:2" ht="22.15" customHeight="1">
      <c r="A27" s="47"/>
      <c r="B27" s="2" t="s">
        <v>93</v>
      </c>
    </row>
    <row r="28" spans="1:2" ht="22.15" customHeight="1">
      <c r="A28" s="47"/>
      <c r="B28" s="2" t="s">
        <v>94</v>
      </c>
    </row>
    <row r="29" spans="1:2" ht="22.15" customHeight="1">
      <c r="A29" s="47"/>
      <c r="B29" s="2" t="s">
        <v>95</v>
      </c>
    </row>
    <row r="30" spans="1:2" ht="22.15" customHeight="1">
      <c r="A30" s="47"/>
      <c r="B30" s="2" t="s">
        <v>96</v>
      </c>
    </row>
    <row r="31" spans="1:2" ht="22.15" customHeight="1">
      <c r="A31" s="48"/>
      <c r="B31" s="3" t="s">
        <v>97</v>
      </c>
    </row>
    <row r="32" spans="1:2" ht="22.15" customHeight="1">
      <c r="A32" s="47" t="s">
        <v>98</v>
      </c>
      <c r="B32" s="2" t="s">
        <v>99</v>
      </c>
    </row>
    <row r="33" spans="1:2" ht="22.15" customHeight="1">
      <c r="A33" s="47"/>
      <c r="B33" s="2" t="s">
        <v>100</v>
      </c>
    </row>
    <row r="34" spans="1:2" ht="22.15" customHeight="1">
      <c r="A34" s="47"/>
      <c r="B34" s="2" t="s">
        <v>101</v>
      </c>
    </row>
    <row r="35" spans="1:2" ht="22.15" customHeight="1">
      <c r="A35" s="47"/>
      <c r="B35" s="2" t="s">
        <v>102</v>
      </c>
    </row>
    <row r="36" spans="1:2" ht="22.15" customHeight="1">
      <c r="A36" s="47"/>
      <c r="B36" s="2" t="s">
        <v>103</v>
      </c>
    </row>
    <row r="37" spans="1:2" ht="22.15" customHeight="1">
      <c r="A37" s="47"/>
      <c r="B37" s="2" t="s">
        <v>104</v>
      </c>
    </row>
    <row r="38" spans="1:2" ht="22.15" customHeight="1">
      <c r="A38" s="47"/>
      <c r="B38" s="2" t="s">
        <v>105</v>
      </c>
    </row>
    <row r="39" spans="1:2" ht="22.15" customHeight="1">
      <c r="A39" s="48"/>
      <c r="B39" s="3" t="s">
        <v>106</v>
      </c>
    </row>
    <row r="40" spans="1:2" ht="22.15" customHeight="1">
      <c r="A40" s="45" t="s">
        <v>107</v>
      </c>
      <c r="B40" s="3" t="s">
        <v>108</v>
      </c>
    </row>
    <row r="41" spans="1:2" ht="22.15" customHeight="1">
      <c r="A41" s="47" t="s">
        <v>109</v>
      </c>
      <c r="B41" s="2" t="s">
        <v>110</v>
      </c>
    </row>
    <row r="42" spans="1:2" ht="22.15" customHeight="1">
      <c r="A42" s="48"/>
      <c r="B42" s="3" t="s">
        <v>111</v>
      </c>
    </row>
    <row r="43" spans="1:2" ht="22.15" customHeight="1">
      <c r="A43" s="47" t="s">
        <v>112</v>
      </c>
      <c r="B43" s="2" t="s">
        <v>113</v>
      </c>
    </row>
    <row r="44" spans="1:2" ht="22.15" customHeight="1">
      <c r="A44" s="48"/>
      <c r="B44" s="3" t="s">
        <v>114</v>
      </c>
    </row>
    <row r="45" spans="1:2" ht="22.15" customHeight="1">
      <c r="A45" s="47" t="s">
        <v>115</v>
      </c>
      <c r="B45" s="2" t="s">
        <v>116</v>
      </c>
    </row>
    <row r="46" spans="1:2" ht="22.15" customHeight="1">
      <c r="A46" s="47"/>
      <c r="B46" s="2" t="s">
        <v>117</v>
      </c>
    </row>
    <row r="47" spans="1:2" ht="22.15" customHeight="1">
      <c r="A47" s="48"/>
      <c r="B47" s="3" t="s">
        <v>118</v>
      </c>
    </row>
  </sheetData>
  <mergeCells count="11">
    <mergeCell ref="A21:A23"/>
    <mergeCell ref="A2:A5"/>
    <mergeCell ref="A6:A8"/>
    <mergeCell ref="A9:A11"/>
    <mergeCell ref="A12:A14"/>
    <mergeCell ref="A16:A19"/>
    <mergeCell ref="A24:A31"/>
    <mergeCell ref="A32:A39"/>
    <mergeCell ref="A41:A42"/>
    <mergeCell ref="A43:A44"/>
    <mergeCell ref="A45:A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E17" sqref="B16:E17"/>
    </sheetView>
  </sheetViews>
  <sheetFormatPr defaultRowHeight="15.6"/>
  <cols>
    <col min="1" max="1" width="24.875" customWidth="1"/>
  </cols>
  <sheetData>
    <row r="1" spans="1:5">
      <c r="A1" s="8"/>
      <c r="B1" s="49" t="s">
        <v>119</v>
      </c>
      <c r="C1" s="49"/>
      <c r="D1" s="49"/>
      <c r="E1" s="49"/>
    </row>
    <row r="2" spans="1:5">
      <c r="A2" s="9"/>
      <c r="B2" s="10" t="s">
        <v>5</v>
      </c>
      <c r="C2" s="10" t="s">
        <v>120</v>
      </c>
      <c r="D2" s="10" t="s">
        <v>7</v>
      </c>
      <c r="E2" s="10" t="s">
        <v>8</v>
      </c>
    </row>
    <row r="3" spans="1:5">
      <c r="A3" s="11" t="s">
        <v>121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122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123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Props1.xml><?xml version="1.0" encoding="utf-8"?>
<ds:datastoreItem xmlns:ds="http://schemas.openxmlformats.org/officeDocument/2006/customXml" ds:itemID="{56308CB8-6F41-47A1-A7FA-F6896EEA67B8}"/>
</file>

<file path=customXml/itemProps2.xml><?xml version="1.0" encoding="utf-8"?>
<ds:datastoreItem xmlns:ds="http://schemas.openxmlformats.org/officeDocument/2006/customXml" ds:itemID="{72985BAC-01DD-4D79-81D2-7D306B72EA06}"/>
</file>

<file path=customXml/itemProps3.xml><?xml version="1.0" encoding="utf-8"?>
<ds:datastoreItem xmlns:ds="http://schemas.openxmlformats.org/officeDocument/2006/customXml" ds:itemID="{7D8C4767-4D22-45B1-BCBF-E6BA997C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Jen Martinson</cp:lastModifiedBy>
  <cp:revision/>
  <dcterms:created xsi:type="dcterms:W3CDTF">2026-02-19T16:21:33Z</dcterms:created>
  <dcterms:modified xsi:type="dcterms:W3CDTF">2026-07-28T13:07:25Z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