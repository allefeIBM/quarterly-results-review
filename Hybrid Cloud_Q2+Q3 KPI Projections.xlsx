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/Users/refnegrao/Downloads/"/>
    </mc:Choice>
  </mc:AlternateContent>
  <xr:revisionPtr revIDLastSave="4" documentId="13_ncr:1_{10A541D9-48F6-B44B-9F5B-7DFAD2A3D448}" xr6:coauthVersionLast="47" xr6:coauthVersionMax="47" xr10:uidLastSave="{2540E583-4A5B-4635-895D-1EF51B5872AE}"/>
  <bookViews>
    <workbookView xWindow="0" yWindow="660" windowWidth="29400" windowHeight="18460" firstSheet="1" activeTab="1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3" i="4"/>
  <c r="F12" i="5"/>
  <c r="G12" i="5"/>
  <c r="H12" i="5"/>
  <c r="E12" i="5"/>
  <c r="I12" i="5"/>
  <c r="I11" i="5"/>
  <c r="I10" i="5"/>
  <c r="I4" i="5"/>
  <c r="I5" i="5"/>
  <c r="I6" i="5"/>
  <c r="I7" i="5"/>
  <c r="I8" i="5"/>
  <c r="I9" i="5"/>
  <c r="I3" i="5"/>
</calcChain>
</file>

<file path=xl/sharedStrings.xml><?xml version="1.0" encoding="utf-8"?>
<sst xmlns="http://schemas.openxmlformats.org/spreadsheetml/2006/main" count="287" uniqueCount="110">
  <si>
    <t>Hybrid Cloud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</si>
  <si>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</si>
  <si>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</si>
  <si>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</si>
  <si>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</si>
  <si>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</si>
  <si>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</si>
  <si>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</si>
  <si>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</si>
  <si>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Data Center World 2026</t>
  </si>
  <si>
    <t>80G69PMB</t>
  </si>
  <si>
    <t>Power HW</t>
  </si>
  <si>
    <t>AIX / IBM i Market</t>
  </si>
  <si>
    <t>Public Cloud Platform - Infra Reported (IUO)</t>
  </si>
  <si>
    <t>Public Cloud IaaS (IUO)</t>
  </si>
  <si>
    <t>Storage HW</t>
  </si>
  <si>
    <t>Storage for Data Resiliency Market</t>
  </si>
  <si>
    <t>Z HW</t>
  </si>
  <si>
    <t>IBM Z and LinuxONE Hardware</t>
  </si>
  <si>
    <t>Storage TPS</t>
  </si>
  <si>
    <t>Storage for Data and AI SW Market</t>
  </si>
  <si>
    <t>Z TPS</t>
  </si>
  <si>
    <t>Z Application and Data Management</t>
  </si>
  <si>
    <t>IBM Z AIOps Technical Council</t>
  </si>
  <si>
    <t>A7AGXUMB</t>
  </si>
  <si>
    <t>STAC Summit NYC + AI Track</t>
  </si>
  <si>
    <t>CUP89CMB</t>
  </si>
  <si>
    <t>Storage for Data and AI Market</t>
  </si>
  <si>
    <t>STAC Summit Chicago</t>
  </si>
  <si>
    <t>QIBVBVMB</t>
  </si>
  <si>
    <t>Data Tech Summit</t>
  </si>
  <si>
    <t>VQTQCAMB</t>
  </si>
  <si>
    <t>Cybersecurity Summit - Pittsburgh</t>
  </si>
  <si>
    <t>MYB87UMB</t>
  </si>
  <si>
    <t>Think Hybrid Cloud Surround</t>
  </si>
  <si>
    <t>BVUOELMB</t>
  </si>
  <si>
    <t>Storage for Hybrid Cloud Market</t>
  </si>
  <si>
    <t>FIS EMERALD</t>
  </si>
  <si>
    <t>UZJPYBMB</t>
  </si>
  <si>
    <t>Hybrid Cloud Q3 KPI Projections</t>
  </si>
  <si>
    <t>Totals</t>
  </si>
  <si>
    <t>SHARE Pittsburgh 2026</t>
  </si>
  <si>
    <t>P3VG7BMB</t>
  </si>
  <si>
    <t>Cybersecurity Summit - Atlanta</t>
  </si>
  <si>
    <t>2V5H07MB</t>
  </si>
  <si>
    <t>Z Premier</t>
  </si>
  <si>
    <t>HL0PEXMB</t>
  </si>
  <si>
    <t>IBM Z Launch NYSE</t>
  </si>
  <si>
    <t>976Z0OMB</t>
  </si>
  <si>
    <t>Hybrid Cloud Q4 KPI Projections</t>
  </si>
  <si>
    <t>STAC Summit New York + AI Track</t>
  </si>
  <si>
    <t>NTRQM1MB</t>
  </si>
  <si>
    <t>SuperComputing 2026</t>
  </si>
  <si>
    <t>26DO9PMB</t>
  </si>
  <si>
    <t>Public Cloud Platform</t>
  </si>
  <si>
    <t>Public Cloud IaaS</t>
  </si>
  <si>
    <t>ASUG Tech Connect 2026</t>
  </si>
  <si>
    <t>BQZ3PCMB</t>
  </si>
  <si>
    <t>Automation Platform</t>
  </si>
  <si>
    <t>Application Development &amp; Integration</t>
  </si>
  <si>
    <t>Infrastructure Automation</t>
  </si>
  <si>
    <t>Security Threat Management</t>
  </si>
  <si>
    <t>Technology Business Management</t>
  </si>
  <si>
    <t>Data Platform</t>
  </si>
  <si>
    <t>AI Productivity</t>
  </si>
  <si>
    <t>AI/ML Ops</t>
  </si>
  <si>
    <t>Data Fabric</t>
  </si>
  <si>
    <t>Intelligent Operations</t>
  </si>
  <si>
    <t>Application Operations</t>
  </si>
  <si>
    <t>Business Operations</t>
  </si>
  <si>
    <t>Cybersecurity</t>
  </si>
  <si>
    <t>Cognitive Infrastructure Market</t>
  </si>
  <si>
    <t>Enterprise Linux Market</t>
  </si>
  <si>
    <t>Power TPS</t>
  </si>
  <si>
    <t>Power TPS Market</t>
  </si>
  <si>
    <t>Public Cloud Contracts</t>
  </si>
  <si>
    <t>Public Cloud PaaS</t>
  </si>
  <si>
    <t>Public Cloud TEL &amp; Support</t>
  </si>
  <si>
    <t>Quantum</t>
  </si>
  <si>
    <t>Quantum Market</t>
  </si>
  <si>
    <t>Strategy &amp; Technology</t>
  </si>
  <si>
    <t>Business Applications</t>
  </si>
  <si>
    <t>Hybrid Cloud &amp; Data</t>
  </si>
  <si>
    <t>Strategy &amp; Transformation</t>
  </si>
  <si>
    <t>Storage Networking Market</t>
  </si>
  <si>
    <t>Storage Operations / Services Market</t>
  </si>
  <si>
    <t>Storage Tape Market</t>
  </si>
  <si>
    <t>Storage for Primary Block Market</t>
  </si>
  <si>
    <t>Traditional Distributed External Storage Market</t>
  </si>
  <si>
    <t>Storage Networking SW Market</t>
  </si>
  <si>
    <t>Storage Operations / Services SW Market</t>
  </si>
  <si>
    <t>Storage Tape SW Market</t>
  </si>
  <si>
    <t>Storage for Data Resiliency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</si>
  <si>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</si>
  <si>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</si>
  <si>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</si>
  <si>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</si>
  <si>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</si>
  <si>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</si>
  <si>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</si>
  <si>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</si>
  <si>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System Software HW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</si>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</sst>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8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2" tint="-0.249977111117893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theme="2" tint="-0.249977111117893"/>
      <name val="Arial"/>
      <family val="2"/>
    </font>
    <font>
      <sz val="9"/>
      <color theme="0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23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44" fontId="0" fillId="0" borderId="2" xfId="1" applyFont="1" applyBorder="1"/>
    <xf numFmtId="0" fontId="10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0" fillId="0" borderId="12" xfId="0" applyFont="1" applyBorder="1"/>
    <xf numFmtId="0" fontId="0" fillId="0" borderId="12" xfId="0" applyBorder="1"/>
    <xf numFmtId="0" fontId="5" fillId="3" borderId="4" xfId="0" applyFont="1" applyFill="1" applyBorder="1"/>
    <xf numFmtId="0" fontId="4" fillId="0" borderId="4" xfId="0" applyFont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10" fillId="0" borderId="14" xfId="0" applyFont="1" applyBorder="1"/>
    <xf numFmtId="0" fontId="0" fillId="0" borderId="14" xfId="0" applyBorder="1"/>
    <xf numFmtId="0" fontId="0" fillId="0" borderId="18" xfId="0" applyBorder="1"/>
    <xf numFmtId="0" fontId="0" fillId="0" borderId="18" xfId="0" applyBorder="1" applyAlignment="1">
      <alignment vertical="center"/>
    </xf>
    <xf numFmtId="0" fontId="10" fillId="0" borderId="21" xfId="0" applyFont="1" applyBorder="1"/>
    <xf numFmtId="0" fontId="0" fillId="0" borderId="21" xfId="0" applyBorder="1" applyAlignment="1">
      <alignment vertical="center"/>
    </xf>
    <xf numFmtId="0" fontId="0" fillId="0" borderId="26" xfId="0" applyBorder="1"/>
    <xf numFmtId="164" fontId="0" fillId="0" borderId="27" xfId="0" applyNumberFormat="1" applyBorder="1" applyAlignment="1">
      <alignment vertical="center"/>
    </xf>
    <xf numFmtId="164" fontId="0" fillId="0" borderId="28" xfId="0" applyNumberFormat="1" applyBorder="1" applyAlignment="1">
      <alignment vertical="center"/>
    </xf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2" xfId="1" applyNumberFormat="1" applyFont="1" applyBorder="1"/>
    <xf numFmtId="165" fontId="0" fillId="0" borderId="1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8" xfId="0" applyNumberFormat="1" applyBorder="1" applyAlignment="1">
      <alignment vertical="center"/>
    </xf>
    <xf numFmtId="165" fontId="0" fillId="0" borderId="19" xfId="0" applyNumberFormat="1" applyBorder="1" applyAlignment="1">
      <alignment vertical="center"/>
    </xf>
    <xf numFmtId="165" fontId="0" fillId="0" borderId="21" xfId="0" applyNumberFormat="1" applyBorder="1" applyAlignment="1">
      <alignment vertical="center"/>
    </xf>
    <xf numFmtId="165" fontId="0" fillId="0" borderId="22" xfId="0" applyNumberFormat="1" applyBorder="1" applyAlignment="1">
      <alignment vertical="center"/>
    </xf>
    <xf numFmtId="165" fontId="0" fillId="0" borderId="5" xfId="1" applyNumberFormat="1" applyFont="1" applyBorder="1"/>
    <xf numFmtId="165" fontId="0" fillId="0" borderId="16" xfId="1" applyNumberFormat="1" applyFont="1" applyBorder="1"/>
    <xf numFmtId="0" fontId="0" fillId="6" borderId="6" xfId="0" applyFill="1" applyBorder="1"/>
    <xf numFmtId="0" fontId="10" fillId="6" borderId="9" xfId="0" applyFont="1" applyFill="1" applyBorder="1"/>
    <xf numFmtId="0" fontId="10" fillId="6" borderId="11" xfId="0" applyFont="1" applyFill="1" applyBorder="1"/>
    <xf numFmtId="0" fontId="0" fillId="6" borderId="17" xfId="0" applyFill="1" applyBorder="1"/>
    <xf numFmtId="0" fontId="10" fillId="6" borderId="20" xfId="0" applyFont="1" applyFill="1" applyBorder="1"/>
    <xf numFmtId="0" fontId="10" fillId="6" borderId="23" xfId="0" applyFont="1" applyFill="1" applyBorder="1"/>
    <xf numFmtId="0" fontId="0" fillId="6" borderId="25" xfId="0" applyFill="1" applyBorder="1"/>
    <xf numFmtId="0" fontId="11" fillId="0" borderId="5" xfId="0" applyFont="1" applyBorder="1"/>
    <xf numFmtId="0" fontId="0" fillId="6" borderId="24" xfId="0" applyFill="1" applyBorder="1"/>
    <xf numFmtId="0" fontId="12" fillId="0" borderId="6" xfId="0" applyFont="1" applyBorder="1"/>
    <xf numFmtId="0" fontId="12" fillId="0" borderId="7" xfId="0" applyFont="1" applyBorder="1"/>
    <xf numFmtId="165" fontId="12" fillId="0" borderId="7" xfId="1" applyNumberFormat="1" applyFont="1" applyFill="1" applyBorder="1"/>
    <xf numFmtId="165" fontId="12" fillId="0" borderId="8" xfId="1" applyNumberFormat="1" applyFont="1" applyFill="1" applyBorder="1"/>
    <xf numFmtId="165" fontId="12" fillId="0" borderId="4" xfId="0" applyNumberFormat="1" applyFont="1" applyBorder="1"/>
    <xf numFmtId="0" fontId="12" fillId="0" borderId="4" xfId="0" applyFont="1" applyBorder="1"/>
    <xf numFmtId="0" fontId="13" fillId="0" borderId="2" xfId="0" applyFont="1" applyBorder="1"/>
    <xf numFmtId="0" fontId="12" fillId="0" borderId="2" xfId="0" applyFont="1" applyBorder="1"/>
    <xf numFmtId="0" fontId="12" fillId="0" borderId="0" xfId="0" applyFont="1"/>
    <xf numFmtId="0" fontId="14" fillId="0" borderId="2" xfId="0" applyFont="1" applyBorder="1"/>
    <xf numFmtId="165" fontId="12" fillId="0" borderId="2" xfId="1" applyNumberFormat="1" applyFont="1" applyFill="1" applyBorder="1"/>
    <xf numFmtId="165" fontId="12" fillId="0" borderId="10" xfId="1" applyNumberFormat="1" applyFont="1" applyFill="1" applyBorder="1"/>
    <xf numFmtId="0" fontId="14" fillId="0" borderId="12" xfId="0" applyFont="1" applyBorder="1"/>
    <xf numFmtId="0" fontId="12" fillId="0" borderId="12" xfId="0" applyFont="1" applyBorder="1"/>
    <xf numFmtId="165" fontId="12" fillId="0" borderId="12" xfId="1" applyNumberFormat="1" applyFont="1" applyFill="1" applyBorder="1"/>
    <xf numFmtId="165" fontId="12" fillId="0" borderId="13" xfId="1" applyNumberFormat="1" applyFont="1" applyFill="1" applyBorder="1"/>
    <xf numFmtId="0" fontId="12" fillId="0" borderId="25" xfId="0" applyFont="1" applyBorder="1"/>
    <xf numFmtId="0" fontId="12" fillId="0" borderId="26" xfId="0" applyFont="1" applyBorder="1"/>
    <xf numFmtId="164" fontId="12" fillId="0" borderId="27" xfId="0" applyNumberFormat="1" applyFont="1" applyBorder="1" applyAlignment="1">
      <alignment vertical="center"/>
    </xf>
    <xf numFmtId="164" fontId="12" fillId="0" borderId="28" xfId="0" applyNumberFormat="1" applyFont="1" applyBorder="1" applyAlignment="1">
      <alignment vertical="center"/>
    </xf>
    <xf numFmtId="0" fontId="14" fillId="0" borderId="14" xfId="0" applyFont="1" applyBorder="1"/>
    <xf numFmtId="0" fontId="12" fillId="0" borderId="14" xfId="0" applyFont="1" applyBorder="1"/>
    <xf numFmtId="165" fontId="12" fillId="0" borderId="14" xfId="1" applyNumberFormat="1" applyFont="1" applyFill="1" applyBorder="1"/>
    <xf numFmtId="165" fontId="12" fillId="0" borderId="15" xfId="1" applyNumberFormat="1" applyFont="1" applyFill="1" applyBorder="1"/>
    <xf numFmtId="0" fontId="12" fillId="0" borderId="17" xfId="0" applyFont="1" applyBorder="1"/>
    <xf numFmtId="0" fontId="12" fillId="0" borderId="18" xfId="0" applyFont="1" applyBorder="1"/>
    <xf numFmtId="0" fontId="12" fillId="0" borderId="18" xfId="0" applyFont="1" applyBorder="1" applyAlignment="1">
      <alignment vertical="center"/>
    </xf>
    <xf numFmtId="165" fontId="12" fillId="0" borderId="18" xfId="0" applyNumberFormat="1" applyFont="1" applyBorder="1" applyAlignment="1">
      <alignment vertical="center"/>
    </xf>
    <xf numFmtId="165" fontId="12" fillId="0" borderId="19" xfId="0" applyNumberFormat="1" applyFont="1" applyBorder="1" applyAlignment="1">
      <alignment vertical="center"/>
    </xf>
    <xf numFmtId="44" fontId="12" fillId="0" borderId="2" xfId="1" applyFont="1" applyFill="1" applyBorder="1"/>
    <xf numFmtId="0" fontId="14" fillId="0" borderId="21" xfId="0" applyFont="1" applyBorder="1"/>
    <xf numFmtId="0" fontId="12" fillId="0" borderId="21" xfId="0" applyFont="1" applyBorder="1" applyAlignment="1">
      <alignment vertical="center"/>
    </xf>
    <xf numFmtId="165" fontId="12" fillId="0" borderId="21" xfId="0" applyNumberFormat="1" applyFont="1" applyBorder="1" applyAlignment="1">
      <alignment vertical="center"/>
    </xf>
    <xf numFmtId="165" fontId="12" fillId="0" borderId="22" xfId="0" applyNumberFormat="1" applyFont="1" applyBorder="1" applyAlignment="1">
      <alignment vertical="center"/>
    </xf>
    <xf numFmtId="0" fontId="12" fillId="0" borderId="24" xfId="0" applyFont="1" applyBorder="1"/>
    <xf numFmtId="0" fontId="12" fillId="0" borderId="5" xfId="0" applyFont="1" applyBorder="1"/>
    <xf numFmtId="165" fontId="12" fillId="0" borderId="5" xfId="1" applyNumberFormat="1" applyFont="1" applyFill="1" applyBorder="1"/>
    <xf numFmtId="165" fontId="12" fillId="0" borderId="16" xfId="1" applyNumberFormat="1" applyFont="1" applyFill="1" applyBorder="1"/>
    <xf numFmtId="0" fontId="15" fillId="0" borderId="9" xfId="0" applyFont="1" applyBorder="1"/>
    <xf numFmtId="0" fontId="15" fillId="0" borderId="11" xfId="0" applyFont="1" applyBorder="1"/>
    <xf numFmtId="0" fontId="15" fillId="0" borderId="23" xfId="0" applyFont="1" applyBorder="1"/>
    <xf numFmtId="0" fontId="15" fillId="0" borderId="20" xfId="0" applyFont="1" applyBorder="1"/>
    <xf numFmtId="0" fontId="16" fillId="0" borderId="2" xfId="0" applyFont="1" applyBorder="1"/>
    <xf numFmtId="0" fontId="12" fillId="6" borderId="6" xfId="0" applyFont="1" applyFill="1" applyBorder="1"/>
    <xf numFmtId="0" fontId="12" fillId="6" borderId="9" xfId="0" applyFont="1" applyFill="1" applyBorder="1"/>
    <xf numFmtId="0" fontId="16" fillId="6" borderId="9" xfId="0" applyFont="1" applyFill="1" applyBorder="1"/>
    <xf numFmtId="0" fontId="17" fillId="0" borderId="2" xfId="0" applyFont="1" applyBorder="1"/>
    <xf numFmtId="165" fontId="0" fillId="0" borderId="8" xfId="0" applyNumberFormat="1" applyBorder="1"/>
    <xf numFmtId="165" fontId="0" fillId="0" borderId="10" xfId="0" applyNumberFormat="1" applyBorder="1"/>
    <xf numFmtId="0" fontId="17" fillId="0" borderId="12" xfId="0" applyFont="1" applyBorder="1"/>
    <xf numFmtId="165" fontId="0" fillId="0" borderId="13" xfId="0" applyNumberFormat="1" applyBorder="1"/>
    <xf numFmtId="0" fontId="4" fillId="0" borderId="14" xfId="0" applyFont="1" applyBorder="1"/>
    <xf numFmtId="0" fontId="17" fillId="6" borderId="9" xfId="0" applyFont="1" applyFill="1" applyBorder="1"/>
    <xf numFmtId="0" fontId="17" fillId="6" borderId="11" xfId="0" applyFont="1" applyFill="1" applyBorder="1"/>
    <xf numFmtId="0" fontId="0" fillId="6" borderId="0" xfId="0" applyFill="1"/>
    <xf numFmtId="0" fontId="0" fillId="0" borderId="29" xfId="0" applyFill="1" applyBorder="1"/>
    <xf numFmtId="165" fontId="0" fillId="0" borderId="29" xfId="1" applyNumberFormat="1" applyFont="1" applyFill="1" applyBorder="1"/>
    <xf numFmtId="165" fontId="0" fillId="0" borderId="30" xfId="0" applyNumberFormat="1" applyFill="1" applyBorder="1"/>
    <xf numFmtId="165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O35"/>
  <sheetViews>
    <sheetView topLeftCell="A19" zoomScale="85" workbookViewId="0">
      <selection activeCell="C4" sqref="C4"/>
    </sheetView>
  </sheetViews>
  <sheetFormatPr defaultColWidth="8.875" defaultRowHeight="15.95"/>
  <cols>
    <col min="1" max="1" width="35.125" style="5" customWidth="1"/>
    <col min="2" max="2" width="19.375" style="5" customWidth="1"/>
    <col min="3" max="3" width="24.5" style="5" customWidth="1"/>
    <col min="4" max="4" width="31.625" style="5" customWidth="1"/>
    <col min="5" max="8" width="18.125" style="5" customWidth="1"/>
    <col min="9" max="9" width="11.625" style="5" customWidth="1"/>
    <col min="10" max="11" width="11.625" style="5" bestFit="1" customWidth="1"/>
    <col min="12" max="12" width="12.625" style="5" customWidth="1"/>
    <col min="13" max="16384" width="8.875" style="5"/>
  </cols>
  <sheetData>
    <row r="1" spans="1:14" s="6" customFormat="1" ht="21.95">
      <c r="A1" s="22" t="s">
        <v>0</v>
      </c>
      <c r="B1" s="23"/>
      <c r="C1" s="23"/>
      <c r="D1" s="23"/>
      <c r="E1" s="23"/>
      <c r="F1" s="23"/>
      <c r="G1" s="23"/>
      <c r="H1" s="24"/>
      <c r="I1" s="20"/>
    </row>
    <row r="2" spans="1:14" s="7" customFormat="1" ht="17.100000000000001" thickBot="1">
      <c r="A2" s="25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7" t="s">
        <v>8</v>
      </c>
      <c r="I2" s="21"/>
    </row>
    <row r="3" spans="1:14">
      <c r="A3" s="51" t="s">
        <v>9</v>
      </c>
      <c r="B3" s="17" t="s">
        <v>10</v>
      </c>
      <c r="C3" s="17" t="s">
        <v>11</v>
      </c>
      <c r="D3" s="17" t="s">
        <v>12</v>
      </c>
      <c r="E3" s="37">
        <v>8502.1952412561586</v>
      </c>
      <c r="F3" s="37">
        <v>17854.610006637933</v>
      </c>
      <c r="G3" s="37">
        <v>25506.585723768472</v>
      </c>
      <c r="H3" s="38">
        <v>33158.561440899015</v>
      </c>
      <c r="I3" s="15"/>
      <c r="J3" s="15"/>
      <c r="K3" s="15"/>
      <c r="L3" s="15"/>
      <c r="M3" s="7"/>
      <c r="N3" s="7"/>
    </row>
    <row r="4" spans="1:14">
      <c r="A4" s="52" t="s">
        <v>9</v>
      </c>
      <c r="B4" s="14" t="s">
        <v>10</v>
      </c>
      <c r="C4" s="5" t="s">
        <v>13</v>
      </c>
      <c r="D4" s="5" t="s">
        <v>14</v>
      </c>
      <c r="E4" s="39">
        <v>8502.1952412561586</v>
      </c>
      <c r="F4" s="39">
        <v>17854.610006637933</v>
      </c>
      <c r="G4" s="39">
        <v>25506.585723768472</v>
      </c>
      <c r="H4" s="40">
        <v>33158.561440899015</v>
      </c>
      <c r="I4" s="15"/>
      <c r="J4" s="15"/>
      <c r="K4" s="15"/>
      <c r="L4" s="15"/>
      <c r="M4" s="7"/>
      <c r="N4" s="7"/>
    </row>
    <row r="5" spans="1:14">
      <c r="A5" s="52" t="s">
        <v>9</v>
      </c>
      <c r="B5" s="14" t="s">
        <v>10</v>
      </c>
      <c r="C5" s="5" t="s">
        <v>15</v>
      </c>
      <c r="D5" s="5" t="s">
        <v>16</v>
      </c>
      <c r="E5" s="39">
        <v>10202.63428950739</v>
      </c>
      <c r="F5" s="39">
        <v>21425.532007965518</v>
      </c>
      <c r="G5" s="39">
        <v>30607.902868522167</v>
      </c>
      <c r="H5" s="40">
        <v>39790.273729078821</v>
      </c>
      <c r="I5" s="15"/>
      <c r="J5" s="15"/>
      <c r="K5" s="15"/>
      <c r="L5" s="15"/>
      <c r="M5" s="7"/>
      <c r="N5" s="7"/>
    </row>
    <row r="6" spans="1:14">
      <c r="A6" s="52" t="s">
        <v>9</v>
      </c>
      <c r="B6" s="14" t="s">
        <v>10</v>
      </c>
      <c r="C6" s="5" t="s">
        <v>17</v>
      </c>
      <c r="D6" s="5" t="s">
        <v>18</v>
      </c>
      <c r="E6" s="39">
        <v>35199.088298800496</v>
      </c>
      <c r="F6" s="39">
        <v>73918.085427481026</v>
      </c>
      <c r="G6" s="39">
        <v>105597.26489640147</v>
      </c>
      <c r="H6" s="40">
        <v>137276.44436532192</v>
      </c>
      <c r="I6" s="15"/>
      <c r="J6" s="15"/>
      <c r="K6" s="15"/>
      <c r="L6" s="15"/>
      <c r="M6" s="7"/>
      <c r="N6" s="7"/>
    </row>
    <row r="7" spans="1:14">
      <c r="A7" s="52" t="s">
        <v>9</v>
      </c>
      <c r="B7" s="14" t="s">
        <v>10</v>
      </c>
      <c r="C7" s="5" t="s">
        <v>19</v>
      </c>
      <c r="D7" s="5" t="s">
        <v>20</v>
      </c>
      <c r="E7" s="39">
        <v>12285.67212361515</v>
      </c>
      <c r="F7" s="39">
        <v>16621.79169665579</v>
      </c>
      <c r="G7" s="39">
        <v>18067.164887669336</v>
      </c>
      <c r="H7" s="40">
        <v>25294.030842737069</v>
      </c>
      <c r="I7" s="15"/>
      <c r="J7" s="15"/>
      <c r="K7" s="15"/>
      <c r="L7" s="15"/>
      <c r="M7" s="7"/>
      <c r="N7" s="7"/>
    </row>
    <row r="8" spans="1:14" ht="17.100000000000001" thickBot="1">
      <c r="A8" s="53" t="s">
        <v>9</v>
      </c>
      <c r="B8" s="18" t="s">
        <v>10</v>
      </c>
      <c r="C8" s="19" t="s">
        <v>21</v>
      </c>
      <c r="D8" s="19" t="s">
        <v>22</v>
      </c>
      <c r="E8" s="41">
        <v>24571.3442472303</v>
      </c>
      <c r="F8" s="41">
        <v>33243.583393311579</v>
      </c>
      <c r="G8" s="41">
        <v>36134.329775338672</v>
      </c>
      <c r="H8" s="42">
        <v>50588.061685474138</v>
      </c>
      <c r="I8" s="15"/>
      <c r="J8" s="15"/>
      <c r="K8" s="15"/>
      <c r="L8" s="15"/>
      <c r="M8" s="7"/>
      <c r="N8" s="7"/>
    </row>
    <row r="9" spans="1:14" ht="17.100000000000001" thickBot="1">
      <c r="A9" s="57" t="s">
        <v>23</v>
      </c>
      <c r="B9" s="34" t="s">
        <v>24</v>
      </c>
      <c r="C9" s="34" t="s">
        <v>21</v>
      </c>
      <c r="D9" s="34" t="s">
        <v>22</v>
      </c>
      <c r="E9" s="35">
        <v>308904.51693461544</v>
      </c>
      <c r="F9" s="35">
        <v>648699.4855626924</v>
      </c>
      <c r="G9" s="35">
        <v>926713.55080384621</v>
      </c>
      <c r="H9" s="36">
        <v>1204727.6160450003</v>
      </c>
      <c r="I9" s="15"/>
      <c r="J9" s="15"/>
      <c r="K9" s="15"/>
      <c r="L9" s="15"/>
      <c r="M9" s="7"/>
      <c r="N9" s="7"/>
    </row>
    <row r="10" spans="1:14">
      <c r="A10" s="51" t="s">
        <v>25</v>
      </c>
      <c r="B10" s="17" t="s">
        <v>26</v>
      </c>
      <c r="C10" s="17" t="s">
        <v>15</v>
      </c>
      <c r="D10" s="17" t="s">
        <v>27</v>
      </c>
      <c r="E10" s="37">
        <v>36772.784999999996</v>
      </c>
      <c r="F10" s="37">
        <v>77222.848499999993</v>
      </c>
      <c r="G10" s="37">
        <v>110318.355</v>
      </c>
      <c r="H10" s="38">
        <v>143413.8615</v>
      </c>
      <c r="I10" s="15"/>
      <c r="J10" s="15"/>
      <c r="K10" s="15"/>
      <c r="L10" s="15"/>
      <c r="M10" s="7"/>
    </row>
    <row r="11" spans="1:14">
      <c r="A11" s="52" t="s">
        <v>25</v>
      </c>
      <c r="B11" s="14" t="s">
        <v>26</v>
      </c>
      <c r="C11" s="5" t="s">
        <v>17</v>
      </c>
      <c r="D11" s="5" t="s">
        <v>18</v>
      </c>
      <c r="E11" s="39">
        <v>15759.764999999999</v>
      </c>
      <c r="F11" s="39">
        <v>33095.506499999996</v>
      </c>
      <c r="G11" s="39">
        <v>47279.294999999998</v>
      </c>
      <c r="H11" s="40">
        <v>61463.083500000001</v>
      </c>
      <c r="I11" s="15"/>
      <c r="J11" s="15"/>
      <c r="K11" s="15"/>
      <c r="L11" s="15"/>
      <c r="M11" s="7"/>
    </row>
    <row r="12" spans="1:14">
      <c r="A12" s="52" t="s">
        <v>25</v>
      </c>
      <c r="B12" s="14" t="s">
        <v>26</v>
      </c>
      <c r="C12" s="5" t="s">
        <v>19</v>
      </c>
      <c r="D12" s="5" t="s">
        <v>20</v>
      </c>
      <c r="E12" s="39">
        <v>62513.734499999999</v>
      </c>
      <c r="F12" s="39">
        <v>84577.405499999993</v>
      </c>
      <c r="G12" s="39">
        <v>91931.962499999994</v>
      </c>
      <c r="H12" s="40">
        <v>128704.74749999998</v>
      </c>
      <c r="I12" s="15"/>
      <c r="J12" s="15"/>
      <c r="K12" s="15"/>
      <c r="L12" s="15"/>
      <c r="M12" s="7"/>
    </row>
    <row r="13" spans="1:14" ht="17.100000000000001" thickBot="1">
      <c r="A13" s="53" t="s">
        <v>25</v>
      </c>
      <c r="B13" s="18" t="s">
        <v>26</v>
      </c>
      <c r="C13" s="19" t="s">
        <v>21</v>
      </c>
      <c r="D13" s="19" t="s">
        <v>22</v>
      </c>
      <c r="E13" s="41">
        <v>26791.6005</v>
      </c>
      <c r="F13" s="41">
        <v>36247.459499999997</v>
      </c>
      <c r="G13" s="41">
        <v>39399.412499999999</v>
      </c>
      <c r="H13" s="42">
        <v>55159.177499999998</v>
      </c>
      <c r="I13" s="15"/>
      <c r="J13" s="15"/>
      <c r="K13" s="15"/>
      <c r="L13" s="15"/>
      <c r="M13" s="7"/>
    </row>
    <row r="14" spans="1:14">
      <c r="A14" s="51" t="s">
        <v>28</v>
      </c>
      <c r="B14" s="17" t="s">
        <v>29</v>
      </c>
      <c r="C14" s="17" t="s">
        <v>15</v>
      </c>
      <c r="D14" s="17" t="s">
        <v>27</v>
      </c>
      <c r="E14" s="37">
        <v>18386.392499999998</v>
      </c>
      <c r="F14" s="37">
        <v>38611.424249999996</v>
      </c>
      <c r="G14" s="37">
        <v>55159.177499999998</v>
      </c>
      <c r="H14" s="38">
        <v>71706.93075</v>
      </c>
      <c r="I14" s="15"/>
      <c r="J14" s="15"/>
      <c r="K14" s="15"/>
      <c r="L14" s="15"/>
      <c r="M14" s="7"/>
    </row>
    <row r="15" spans="1:14">
      <c r="A15" s="52" t="s">
        <v>28</v>
      </c>
      <c r="B15" s="14" t="s">
        <v>29</v>
      </c>
      <c r="C15" s="5" t="s">
        <v>17</v>
      </c>
      <c r="D15" s="5" t="s">
        <v>18</v>
      </c>
      <c r="E15" s="39">
        <v>7879.8824999999997</v>
      </c>
      <c r="F15" s="39">
        <v>16547.753249999998</v>
      </c>
      <c r="G15" s="39">
        <v>23639.647499999999</v>
      </c>
      <c r="H15" s="40">
        <v>30731.54175</v>
      </c>
      <c r="I15" s="15"/>
      <c r="J15" s="7"/>
      <c r="K15" s="7"/>
      <c r="L15" s="7"/>
      <c r="M15" s="7"/>
    </row>
    <row r="16" spans="1:14">
      <c r="A16" s="52" t="s">
        <v>28</v>
      </c>
      <c r="B16" s="14" t="s">
        <v>29</v>
      </c>
      <c r="C16" s="5" t="s">
        <v>19</v>
      </c>
      <c r="D16" s="5" t="s">
        <v>20</v>
      </c>
      <c r="E16" s="39">
        <v>31256.867249999999</v>
      </c>
      <c r="F16" s="39">
        <v>42288.702749999997</v>
      </c>
      <c r="G16" s="39">
        <v>45965.981249999997</v>
      </c>
      <c r="H16" s="40">
        <v>64352.373749999992</v>
      </c>
      <c r="I16" s="15"/>
      <c r="J16" s="7"/>
      <c r="K16" s="7"/>
      <c r="L16" s="7"/>
      <c r="M16" s="7"/>
    </row>
    <row r="17" spans="1:15">
      <c r="A17" s="53" t="s">
        <v>28</v>
      </c>
      <c r="B17" s="18" t="s">
        <v>29</v>
      </c>
      <c r="C17" s="19" t="s">
        <v>21</v>
      </c>
      <c r="D17" s="19" t="s">
        <v>22</v>
      </c>
      <c r="E17" s="41">
        <v>13395.80025</v>
      </c>
      <c r="F17" s="41">
        <v>18123.729749999999</v>
      </c>
      <c r="G17" s="41">
        <v>19699.706249999999</v>
      </c>
      <c r="H17" s="42">
        <v>27579.588749999999</v>
      </c>
      <c r="I17" s="15"/>
      <c r="J17" s="7"/>
      <c r="K17" s="7"/>
      <c r="L17" s="7"/>
      <c r="M17" s="7"/>
    </row>
    <row r="18" spans="1:15">
      <c r="A18" s="51" t="s">
        <v>30</v>
      </c>
      <c r="B18" s="17" t="s">
        <v>31</v>
      </c>
      <c r="C18" s="17" t="s">
        <v>17</v>
      </c>
      <c r="D18" s="17" t="s">
        <v>18</v>
      </c>
      <c r="E18" s="37">
        <v>104985</v>
      </c>
      <c r="F18" s="37">
        <v>220468</v>
      </c>
      <c r="G18" s="37">
        <v>314955</v>
      </c>
      <c r="H18" s="38">
        <v>409441</v>
      </c>
      <c r="I18" s="15"/>
      <c r="J18" s="7"/>
      <c r="K18" s="7"/>
      <c r="L18" s="7"/>
      <c r="M18" s="7"/>
    </row>
    <row r="19" spans="1:15">
      <c r="A19" s="56" t="s">
        <v>30</v>
      </c>
      <c r="B19" s="28" t="s">
        <v>31</v>
      </c>
      <c r="C19" s="29" t="s">
        <v>21</v>
      </c>
      <c r="D19" s="29" t="s">
        <v>22</v>
      </c>
      <c r="E19" s="43">
        <v>178474</v>
      </c>
      <c r="F19" s="43">
        <v>241465</v>
      </c>
      <c r="G19" s="43">
        <v>262462</v>
      </c>
      <c r="H19" s="44">
        <v>367447</v>
      </c>
      <c r="I19" s="15"/>
      <c r="J19" s="7"/>
      <c r="K19" s="7"/>
      <c r="L19" s="7"/>
      <c r="M19" s="7"/>
    </row>
    <row r="20" spans="1:15">
      <c r="A20" s="54" t="s">
        <v>32</v>
      </c>
      <c r="B20" s="30" t="s">
        <v>33</v>
      </c>
      <c r="C20" s="31" t="s">
        <v>15</v>
      </c>
      <c r="D20" s="31" t="s">
        <v>16</v>
      </c>
      <c r="E20" s="45">
        <v>67903.374697078645</v>
      </c>
      <c r="F20" s="45">
        <v>142597.08686386514</v>
      </c>
      <c r="G20" s="45">
        <v>203710.12409123595</v>
      </c>
      <c r="H20" s="46">
        <v>264823.16131860676</v>
      </c>
      <c r="I20" s="15"/>
      <c r="J20" s="15"/>
      <c r="K20" s="15"/>
      <c r="L20" s="15"/>
      <c r="M20" s="15"/>
      <c r="N20" s="13"/>
      <c r="O20" s="13"/>
    </row>
    <row r="21" spans="1:15">
      <c r="A21" s="55" t="s">
        <v>32</v>
      </c>
      <c r="B21" s="32" t="s">
        <v>33</v>
      </c>
      <c r="C21" s="33" t="s">
        <v>11</v>
      </c>
      <c r="D21" s="33" t="s">
        <v>12</v>
      </c>
      <c r="E21" s="47">
        <v>11982.948475955054</v>
      </c>
      <c r="F21" s="47">
        <v>25164.191799505614</v>
      </c>
      <c r="G21" s="47">
        <v>35948.845427865162</v>
      </c>
      <c r="H21" s="48">
        <v>46733.499056224711</v>
      </c>
      <c r="I21" s="15"/>
      <c r="J21" s="15"/>
      <c r="K21" s="15"/>
      <c r="L21" s="15"/>
      <c r="M21" s="15"/>
      <c r="N21" s="13"/>
      <c r="O21" s="13"/>
    </row>
    <row r="22" spans="1:15">
      <c r="A22" s="59" t="s">
        <v>34</v>
      </c>
      <c r="B22" s="58" t="s">
        <v>35</v>
      </c>
      <c r="C22" s="16" t="s">
        <v>11</v>
      </c>
      <c r="D22" s="16" t="s">
        <v>12</v>
      </c>
      <c r="E22" s="49">
        <v>44993.53</v>
      </c>
      <c r="F22" s="49">
        <v>94486.42</v>
      </c>
      <c r="G22" s="49">
        <v>134980.6</v>
      </c>
      <c r="H22" s="50">
        <v>175474.8</v>
      </c>
      <c r="I22" s="15"/>
      <c r="J22" s="15"/>
      <c r="K22" s="15"/>
      <c r="L22" s="15"/>
      <c r="M22" s="15"/>
      <c r="N22" s="13"/>
      <c r="O22" s="13"/>
    </row>
    <row r="23" spans="1:15">
      <c r="A23" s="52" t="s">
        <v>34</v>
      </c>
      <c r="B23" s="58" t="s">
        <v>35</v>
      </c>
      <c r="C23" s="5" t="s">
        <v>13</v>
      </c>
      <c r="D23" s="5" t="s">
        <v>14</v>
      </c>
      <c r="E23" s="39">
        <v>29995.69</v>
      </c>
      <c r="F23" s="39">
        <v>62990.95</v>
      </c>
      <c r="G23" s="39">
        <v>89987.07</v>
      </c>
      <c r="H23" s="40">
        <v>116983.2</v>
      </c>
      <c r="I23" s="15"/>
      <c r="J23" s="15"/>
      <c r="K23" s="15"/>
      <c r="L23" s="15"/>
      <c r="M23" s="15"/>
      <c r="N23" s="13"/>
      <c r="O23" s="13"/>
    </row>
    <row r="24" spans="1:15">
      <c r="A24" s="52" t="s">
        <v>34</v>
      </c>
      <c r="B24" s="58" t="s">
        <v>35</v>
      </c>
      <c r="C24" s="5" t="s">
        <v>15</v>
      </c>
      <c r="D24" s="5" t="s">
        <v>27</v>
      </c>
      <c r="E24" s="39">
        <v>14997.84</v>
      </c>
      <c r="F24" s="39">
        <v>31495.47</v>
      </c>
      <c r="G24" s="39">
        <v>44993.53</v>
      </c>
      <c r="H24" s="40">
        <v>58491.59</v>
      </c>
      <c r="I24" s="15"/>
      <c r="J24" s="15"/>
      <c r="K24" s="15"/>
      <c r="L24" s="15"/>
      <c r="M24" s="15"/>
      <c r="N24" s="13"/>
      <c r="O24" s="13"/>
    </row>
    <row r="25" spans="1:15">
      <c r="A25" s="52" t="s">
        <v>34</v>
      </c>
      <c r="B25" s="58" t="s">
        <v>35</v>
      </c>
      <c r="C25" s="5" t="s">
        <v>15</v>
      </c>
      <c r="D25" s="5" t="s">
        <v>36</v>
      </c>
      <c r="E25" s="39">
        <v>29995.69</v>
      </c>
      <c r="F25" s="39">
        <v>62990.95</v>
      </c>
      <c r="G25" s="39">
        <v>89987.07</v>
      </c>
      <c r="H25" s="40">
        <v>116983.2</v>
      </c>
      <c r="I25" s="15"/>
      <c r="J25" s="15"/>
      <c r="K25" s="15"/>
      <c r="L25" s="15"/>
      <c r="M25" s="15"/>
      <c r="N25" s="13"/>
      <c r="O25" s="13"/>
    </row>
    <row r="26" spans="1:15">
      <c r="A26" s="52" t="s">
        <v>34</v>
      </c>
      <c r="B26" s="58" t="s">
        <v>35</v>
      </c>
      <c r="C26" s="5" t="s">
        <v>17</v>
      </c>
      <c r="D26" s="5" t="s">
        <v>18</v>
      </c>
      <c r="E26" s="39">
        <v>112483.83</v>
      </c>
      <c r="F26" s="39">
        <v>236216.09999999998</v>
      </c>
      <c r="G26" s="39">
        <v>337451.55000000005</v>
      </c>
      <c r="H26" s="40">
        <v>438687</v>
      </c>
      <c r="I26" s="15"/>
      <c r="J26" s="15"/>
      <c r="K26" s="15"/>
      <c r="L26" s="15"/>
      <c r="M26" s="15"/>
      <c r="N26" s="13"/>
      <c r="O26" s="13"/>
    </row>
    <row r="27" spans="1:15">
      <c r="A27" s="52" t="s">
        <v>34</v>
      </c>
      <c r="B27" s="58" t="s">
        <v>35</v>
      </c>
      <c r="C27" s="5" t="s">
        <v>19</v>
      </c>
      <c r="D27" s="5" t="s">
        <v>20</v>
      </c>
      <c r="E27" s="39">
        <v>50992.67</v>
      </c>
      <c r="F27" s="39">
        <v>68990.09</v>
      </c>
      <c r="G27" s="39">
        <v>74989.22</v>
      </c>
      <c r="H27" s="40">
        <v>104984.9</v>
      </c>
      <c r="I27" s="15"/>
      <c r="J27" s="15"/>
      <c r="K27" s="15"/>
      <c r="L27" s="15"/>
      <c r="M27" s="15"/>
      <c r="N27" s="13"/>
      <c r="O27" s="13"/>
    </row>
    <row r="28" spans="1:15">
      <c r="A28" s="52" t="s">
        <v>34</v>
      </c>
      <c r="B28" s="58" t="s">
        <v>35</v>
      </c>
      <c r="C28" s="5" t="s">
        <v>21</v>
      </c>
      <c r="D28" s="5" t="s">
        <v>22</v>
      </c>
      <c r="E28" s="39">
        <v>63740.85</v>
      </c>
      <c r="F28" s="39">
        <v>86237.6</v>
      </c>
      <c r="G28" s="39">
        <v>93736.55</v>
      </c>
      <c r="H28" s="40">
        <v>131231.15</v>
      </c>
      <c r="I28" s="15"/>
      <c r="J28" s="15"/>
      <c r="K28" s="15"/>
      <c r="L28" s="15"/>
      <c r="M28" s="15"/>
      <c r="N28" s="13"/>
      <c r="O28" s="13"/>
    </row>
    <row r="29" spans="1:15">
      <c r="A29" s="51" t="s">
        <v>37</v>
      </c>
      <c r="B29" s="17" t="s">
        <v>38</v>
      </c>
      <c r="C29" s="17" t="s">
        <v>11</v>
      </c>
      <c r="D29" s="17" t="s">
        <v>12</v>
      </c>
      <c r="E29" s="37">
        <v>17004.390482512317</v>
      </c>
      <c r="F29" s="37">
        <v>35709.220013275866</v>
      </c>
      <c r="G29" s="37">
        <v>51013.171447536944</v>
      </c>
      <c r="H29" s="38">
        <v>66317.12288179803</v>
      </c>
      <c r="I29" s="15"/>
      <c r="J29" s="15"/>
      <c r="K29" s="15"/>
      <c r="L29" s="15"/>
      <c r="M29" s="15"/>
    </row>
    <row r="30" spans="1:15">
      <c r="A30" s="52" t="s">
        <v>37</v>
      </c>
      <c r="B30" s="14" t="s">
        <v>38</v>
      </c>
      <c r="C30" s="5" t="s">
        <v>13</v>
      </c>
      <c r="D30" s="5" t="s">
        <v>14</v>
      </c>
      <c r="E30" s="39">
        <v>17004.390482512317</v>
      </c>
      <c r="F30" s="39">
        <v>35709.220013275866</v>
      </c>
      <c r="G30" s="39">
        <v>51013.171447536944</v>
      </c>
      <c r="H30" s="40">
        <v>66317.12288179803</v>
      </c>
      <c r="I30" s="15"/>
      <c r="J30" s="15"/>
      <c r="K30" s="15"/>
      <c r="L30" s="15"/>
      <c r="M30" s="15"/>
    </row>
    <row r="31" spans="1:15">
      <c r="A31" s="52" t="s">
        <v>37</v>
      </c>
      <c r="B31" s="14" t="s">
        <v>38</v>
      </c>
      <c r="C31" s="5" t="s">
        <v>15</v>
      </c>
      <c r="D31" s="5" t="s">
        <v>16</v>
      </c>
      <c r="E31" s="39">
        <v>20405.268579014781</v>
      </c>
      <c r="F31" s="39">
        <v>42851.064015931035</v>
      </c>
      <c r="G31" s="39">
        <v>61215.805737044335</v>
      </c>
      <c r="H31" s="40">
        <v>79580.547458157642</v>
      </c>
      <c r="I31" s="15"/>
      <c r="J31" s="15"/>
      <c r="K31" s="15"/>
      <c r="L31" s="15"/>
      <c r="M31" s="15"/>
    </row>
    <row r="32" spans="1:15">
      <c r="A32" s="52" t="s">
        <v>37</v>
      </c>
      <c r="B32" s="14" t="s">
        <v>38</v>
      </c>
      <c r="C32" s="5" t="s">
        <v>17</v>
      </c>
      <c r="D32" s="5" t="s">
        <v>18</v>
      </c>
      <c r="E32" s="39">
        <v>70398.176597600992</v>
      </c>
      <c r="F32" s="39">
        <v>147836.17085496205</v>
      </c>
      <c r="G32" s="39">
        <v>211194.52979280293</v>
      </c>
      <c r="H32" s="40">
        <v>274552.88873064384</v>
      </c>
      <c r="I32" s="15"/>
      <c r="J32" s="15"/>
      <c r="K32" s="15"/>
      <c r="L32" s="15"/>
      <c r="M32" s="15"/>
    </row>
    <row r="33" spans="1:13">
      <c r="A33" s="52" t="s">
        <v>37</v>
      </c>
      <c r="B33" s="14" t="s">
        <v>38</v>
      </c>
      <c r="C33" s="5" t="s">
        <v>19</v>
      </c>
      <c r="D33" s="5" t="s">
        <v>20</v>
      </c>
      <c r="E33" s="39">
        <v>24571.3442472303</v>
      </c>
      <c r="F33" s="39">
        <v>33243.583393311579</v>
      </c>
      <c r="G33" s="39">
        <v>36134.329775338672</v>
      </c>
      <c r="H33" s="40">
        <v>50588.061685474138</v>
      </c>
      <c r="I33" s="15"/>
      <c r="J33" s="15"/>
      <c r="K33" s="15"/>
      <c r="L33" s="15"/>
      <c r="M33" s="15"/>
    </row>
    <row r="34" spans="1:13" ht="17.100000000000001" thickBot="1">
      <c r="A34" s="53" t="s">
        <v>37</v>
      </c>
      <c r="B34" s="18" t="s">
        <v>38</v>
      </c>
      <c r="C34" s="19" t="s">
        <v>21</v>
      </c>
      <c r="D34" s="19" t="s">
        <v>22</v>
      </c>
      <c r="E34" s="41">
        <v>49142.688494460599</v>
      </c>
      <c r="F34" s="41">
        <v>66487.166786623158</v>
      </c>
      <c r="G34" s="41">
        <v>72268.659550677345</v>
      </c>
      <c r="H34" s="42">
        <v>101176.12337094828</v>
      </c>
      <c r="I34" s="15"/>
      <c r="J34" s="15"/>
      <c r="K34" s="15"/>
      <c r="L34" s="15"/>
      <c r="M34" s="15"/>
    </row>
    <row r="35" spans="1:13">
      <c r="A35" s="16"/>
      <c r="B35" s="16"/>
      <c r="C35" s="16"/>
      <c r="D35" s="16"/>
      <c r="E35" s="16"/>
      <c r="F35" s="16"/>
      <c r="G35" s="16"/>
      <c r="H35" s="16"/>
      <c r="I35" s="15"/>
      <c r="J35" s="15"/>
      <c r="K35" s="15"/>
      <c r="L35" s="15"/>
      <c r="M35" s="15"/>
    </row>
  </sheetData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C29:C476 C20:C21 C3:C17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D3:D9 D29:D34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375E-1B28-4779-8DDB-9FCEB44731B5}">
  <sheetPr>
    <tabColor rgb="FF92D050"/>
  </sheetPr>
  <dimension ref="A1:O36"/>
  <sheetViews>
    <sheetView tabSelected="1" zoomScale="69" workbookViewId="0">
      <selection activeCell="I3" sqref="I3:I7"/>
    </sheetView>
  </sheetViews>
  <sheetFormatPr defaultColWidth="8.875" defaultRowHeight="15.95"/>
  <cols>
    <col min="1" max="1" width="42.625" customWidth="1"/>
    <col min="2" max="2" width="15.625" customWidth="1"/>
    <col min="3" max="4" width="21.5" customWidth="1"/>
    <col min="5" max="8" width="15.375" customWidth="1"/>
    <col min="9" max="9" width="19.625" customWidth="1"/>
  </cols>
  <sheetData>
    <row r="1" spans="1:15" ht="21.95">
      <c r="A1" s="22" t="s">
        <v>39</v>
      </c>
      <c r="B1" s="23"/>
      <c r="C1" s="23"/>
      <c r="D1" s="23"/>
      <c r="E1" s="23"/>
      <c r="F1" s="23"/>
      <c r="G1" s="23"/>
      <c r="H1" s="24"/>
      <c r="I1" s="20"/>
      <c r="J1" s="6"/>
      <c r="K1" s="6"/>
      <c r="L1" s="6"/>
      <c r="M1" s="6"/>
      <c r="N1" s="6"/>
      <c r="O1" s="6"/>
    </row>
    <row r="2" spans="1:15" ht="17.100000000000001" thickBot="1">
      <c r="A2" s="25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7" t="s">
        <v>8</v>
      </c>
      <c r="I2" s="21" t="s">
        <v>40</v>
      </c>
      <c r="J2" s="7"/>
      <c r="K2" s="7"/>
      <c r="L2" s="7"/>
      <c r="M2" s="7"/>
      <c r="N2" s="7"/>
      <c r="O2" s="7"/>
    </row>
    <row r="3" spans="1:15" s="68" customFormat="1" ht="17.100000000000001" thickBot="1">
      <c r="A3" s="103" t="s">
        <v>41</v>
      </c>
      <c r="B3" s="61" t="s">
        <v>42</v>
      </c>
      <c r="C3" s="34" t="s">
        <v>21</v>
      </c>
      <c r="D3" s="34" t="s">
        <v>22</v>
      </c>
      <c r="E3" s="35">
        <v>308904.51693461544</v>
      </c>
      <c r="F3" s="35">
        <v>648699.4855626924</v>
      </c>
      <c r="G3" s="35">
        <v>926713.55080384621</v>
      </c>
      <c r="H3" s="36">
        <v>1204727.6160450003</v>
      </c>
      <c r="I3" s="64">
        <f>SUM(E3:H3)</f>
        <v>3089045.1693461547</v>
      </c>
      <c r="J3" s="65"/>
      <c r="K3" s="65"/>
      <c r="L3" s="65"/>
      <c r="M3" s="66"/>
      <c r="N3" s="66"/>
      <c r="O3" s="67"/>
    </row>
    <row r="4" spans="1:15" s="68" customFormat="1">
      <c r="A4" s="104" t="s">
        <v>43</v>
      </c>
      <c r="B4" s="67" t="s">
        <v>44</v>
      </c>
      <c r="C4" s="31" t="s">
        <v>15</v>
      </c>
      <c r="D4" s="31" t="s">
        <v>16</v>
      </c>
      <c r="E4" s="45">
        <v>67903.374697078645</v>
      </c>
      <c r="F4" s="45">
        <v>142597.08686386514</v>
      </c>
      <c r="G4" s="45">
        <v>203710.12409123595</v>
      </c>
      <c r="H4" s="46">
        <v>264823.16131860676</v>
      </c>
      <c r="I4" s="64">
        <f t="shared" ref="I4:I7" si="0">SUM(E4:H4)</f>
        <v>679033.74697078648</v>
      </c>
      <c r="J4" s="65"/>
      <c r="K4" s="65"/>
      <c r="L4" s="65"/>
      <c r="M4" s="66"/>
      <c r="N4" s="66"/>
      <c r="O4" s="67"/>
    </row>
    <row r="5" spans="1:15" s="68" customFormat="1" ht="17.100000000000001" thickBot="1">
      <c r="A5" s="105" t="s">
        <v>43</v>
      </c>
      <c r="B5" s="102" t="s">
        <v>44</v>
      </c>
      <c r="C5" s="33" t="s">
        <v>11</v>
      </c>
      <c r="D5" s="33" t="s">
        <v>12</v>
      </c>
      <c r="E5" s="47">
        <v>11982.948475955054</v>
      </c>
      <c r="F5" s="47">
        <v>25164.191799505614</v>
      </c>
      <c r="G5" s="47">
        <v>35948.845427865162</v>
      </c>
      <c r="H5" s="48">
        <v>46733.499056224711</v>
      </c>
      <c r="I5" s="64">
        <f t="shared" si="0"/>
        <v>119829.48475955054</v>
      </c>
      <c r="J5" s="65"/>
      <c r="K5" s="65"/>
      <c r="L5" s="65"/>
      <c r="M5" s="66"/>
      <c r="N5" s="66"/>
      <c r="O5" s="67"/>
    </row>
    <row r="6" spans="1:15" s="68" customFormat="1">
      <c r="A6" s="104" t="s">
        <v>45</v>
      </c>
      <c r="B6" s="67" t="s">
        <v>46</v>
      </c>
      <c r="C6" s="34" t="s">
        <v>21</v>
      </c>
      <c r="D6" s="34" t="s">
        <v>22</v>
      </c>
      <c r="E6" s="35">
        <v>308904.51693461544</v>
      </c>
      <c r="F6" s="35">
        <v>648699.4855626924</v>
      </c>
      <c r="G6" s="35">
        <v>926713.55080384621</v>
      </c>
      <c r="H6" s="36">
        <v>1204727.6160450003</v>
      </c>
      <c r="I6" s="64">
        <f t="shared" si="0"/>
        <v>3089045.1693461547</v>
      </c>
      <c r="J6" s="65"/>
      <c r="K6" s="65"/>
      <c r="L6" s="65"/>
      <c r="M6" s="66"/>
      <c r="N6" s="66"/>
      <c r="O6" s="67"/>
    </row>
    <row r="7" spans="1:15" s="68" customFormat="1">
      <c r="A7" s="114" t="s">
        <v>47</v>
      </c>
      <c r="B7" s="67" t="s">
        <v>48</v>
      </c>
      <c r="C7" s="67" t="s">
        <v>17</v>
      </c>
      <c r="D7" s="67" t="s">
        <v>18</v>
      </c>
      <c r="E7" s="35">
        <v>1100000</v>
      </c>
      <c r="F7" s="70">
        <v>8300000</v>
      </c>
      <c r="G7" s="70">
        <v>900000</v>
      </c>
      <c r="H7" s="71">
        <v>800000</v>
      </c>
      <c r="I7" s="64">
        <f t="shared" si="0"/>
        <v>11100000</v>
      </c>
      <c r="J7" s="65"/>
      <c r="K7" s="65"/>
      <c r="L7" s="65"/>
      <c r="M7" s="66"/>
      <c r="N7" s="66"/>
      <c r="O7" s="67"/>
    </row>
    <row r="8" spans="1:15" s="68" customFormat="1">
      <c r="A8" s="98"/>
      <c r="B8" s="69"/>
      <c r="C8" s="67"/>
      <c r="D8" s="67"/>
      <c r="E8" s="70"/>
      <c r="F8" s="70"/>
      <c r="G8" s="70"/>
      <c r="H8" s="71"/>
      <c r="I8" s="64"/>
      <c r="J8" s="65"/>
      <c r="K8" s="65"/>
      <c r="L8" s="65"/>
      <c r="M8" s="66"/>
      <c r="N8" s="66"/>
      <c r="O8" s="67"/>
    </row>
    <row r="9" spans="1:15" s="68" customFormat="1">
      <c r="A9" s="99"/>
      <c r="B9" s="72"/>
      <c r="C9" s="73"/>
      <c r="D9" s="73"/>
      <c r="E9" s="74"/>
      <c r="F9" s="74"/>
      <c r="G9" s="74"/>
      <c r="H9" s="75"/>
      <c r="I9" s="64"/>
      <c r="J9" s="65"/>
      <c r="K9" s="65"/>
      <c r="L9" s="65"/>
      <c r="M9" s="66"/>
      <c r="N9" s="66"/>
      <c r="O9" s="67"/>
    </row>
    <row r="10" spans="1:15" s="68" customFormat="1">
      <c r="A10" s="76"/>
      <c r="B10" s="77"/>
      <c r="C10" s="77"/>
      <c r="D10" s="77"/>
      <c r="E10" s="78"/>
      <c r="F10" s="78"/>
      <c r="G10" s="78"/>
      <c r="H10" s="79"/>
      <c r="I10" s="64"/>
      <c r="J10" s="65"/>
      <c r="K10" s="65"/>
      <c r="L10" s="65"/>
      <c r="M10" s="66"/>
      <c r="N10" s="66"/>
      <c r="O10" s="67"/>
    </row>
    <row r="11" spans="1:15" s="68" customFormat="1">
      <c r="A11" s="60"/>
      <c r="B11" s="61"/>
      <c r="C11" s="61"/>
      <c r="D11" s="61"/>
      <c r="E11" s="62"/>
      <c r="F11" s="62"/>
      <c r="G11" s="62"/>
      <c r="H11" s="63"/>
      <c r="I11" s="64"/>
      <c r="J11" s="65"/>
      <c r="K11" s="65"/>
      <c r="L11" s="65"/>
      <c r="M11" s="66"/>
      <c r="N11" s="67"/>
      <c r="O11" s="67"/>
    </row>
    <row r="12" spans="1:15" s="68" customFormat="1">
      <c r="A12" s="98"/>
      <c r="B12" s="69"/>
      <c r="C12" s="67"/>
      <c r="D12" s="67"/>
      <c r="E12" s="70"/>
      <c r="F12" s="70"/>
      <c r="G12" s="70"/>
      <c r="H12" s="71"/>
      <c r="I12" s="64"/>
      <c r="J12" s="65"/>
      <c r="K12" s="65"/>
      <c r="L12" s="65"/>
      <c r="M12" s="66"/>
      <c r="N12" s="67"/>
      <c r="O12" s="67"/>
    </row>
    <row r="13" spans="1:15" s="68" customFormat="1">
      <c r="A13" s="98"/>
      <c r="B13" s="69"/>
      <c r="C13" s="67"/>
      <c r="D13" s="67"/>
      <c r="E13" s="70"/>
      <c r="F13" s="70"/>
      <c r="G13" s="70"/>
      <c r="H13" s="71"/>
      <c r="I13" s="64"/>
      <c r="J13" s="65"/>
      <c r="K13" s="65"/>
      <c r="L13" s="65"/>
      <c r="M13" s="66"/>
      <c r="N13" s="67"/>
      <c r="O13" s="67"/>
    </row>
    <row r="14" spans="1:15" s="68" customFormat="1">
      <c r="A14" s="99"/>
      <c r="B14" s="72"/>
      <c r="C14" s="73"/>
      <c r="D14" s="73"/>
      <c r="E14" s="74"/>
      <c r="F14" s="74"/>
      <c r="G14" s="74"/>
      <c r="H14" s="75"/>
      <c r="I14" s="64"/>
      <c r="J14" s="65"/>
      <c r="K14" s="65"/>
      <c r="L14" s="65"/>
      <c r="M14" s="66"/>
      <c r="N14" s="67"/>
      <c r="O14" s="67"/>
    </row>
    <row r="15" spans="1:15" s="68" customFormat="1">
      <c r="A15" s="60"/>
      <c r="B15" s="61"/>
      <c r="C15" s="61"/>
      <c r="D15" s="61"/>
      <c r="E15" s="62"/>
      <c r="F15" s="62"/>
      <c r="G15" s="62"/>
      <c r="H15" s="63"/>
      <c r="I15" s="64"/>
      <c r="J15" s="65"/>
      <c r="K15" s="65"/>
      <c r="L15" s="65"/>
      <c r="M15" s="66"/>
      <c r="N15" s="67"/>
      <c r="O15" s="67"/>
    </row>
    <row r="16" spans="1:15" s="68" customFormat="1">
      <c r="A16" s="98"/>
      <c r="B16" s="69"/>
      <c r="C16" s="67"/>
      <c r="D16" s="67"/>
      <c r="E16" s="70"/>
      <c r="F16" s="70"/>
      <c r="G16" s="70"/>
      <c r="H16" s="71"/>
      <c r="I16" s="64"/>
      <c r="J16" s="66"/>
      <c r="K16" s="66"/>
      <c r="L16" s="66"/>
      <c r="M16" s="66"/>
      <c r="N16" s="67"/>
      <c r="O16" s="67"/>
    </row>
    <row r="17" spans="1:15" s="68" customFormat="1">
      <c r="A17" s="98"/>
      <c r="B17" s="69"/>
      <c r="C17" s="67"/>
      <c r="D17" s="67"/>
      <c r="E17" s="70"/>
      <c r="F17" s="70"/>
      <c r="G17" s="70"/>
      <c r="H17" s="71"/>
      <c r="I17" s="64"/>
      <c r="J17" s="66"/>
      <c r="K17" s="66"/>
      <c r="L17" s="66"/>
      <c r="M17" s="66"/>
      <c r="N17" s="67"/>
      <c r="O17" s="67"/>
    </row>
    <row r="18" spans="1:15" s="68" customFormat="1">
      <c r="A18" s="99"/>
      <c r="B18" s="72"/>
      <c r="C18" s="73"/>
      <c r="D18" s="73"/>
      <c r="E18" s="74"/>
      <c r="F18" s="74"/>
      <c r="G18" s="74"/>
      <c r="H18" s="75"/>
      <c r="I18" s="64"/>
      <c r="J18" s="66"/>
      <c r="K18" s="66"/>
      <c r="L18" s="66"/>
      <c r="M18" s="66"/>
      <c r="N18" s="67"/>
      <c r="O18" s="67"/>
    </row>
    <row r="19" spans="1:15" s="68" customFormat="1">
      <c r="A19" s="60"/>
      <c r="B19" s="61"/>
      <c r="C19" s="61"/>
      <c r="D19" s="61"/>
      <c r="E19" s="62"/>
      <c r="F19" s="62"/>
      <c r="G19" s="62"/>
      <c r="H19" s="63"/>
      <c r="I19" s="64"/>
      <c r="J19" s="66"/>
      <c r="K19" s="66"/>
      <c r="L19" s="66"/>
      <c r="M19" s="66"/>
      <c r="N19" s="67"/>
      <c r="O19" s="67"/>
    </row>
    <row r="20" spans="1:15" s="68" customFormat="1">
      <c r="A20" s="100"/>
      <c r="B20" s="80"/>
      <c r="C20" s="81"/>
      <c r="D20" s="81"/>
      <c r="E20" s="82"/>
      <c r="F20" s="82"/>
      <c r="G20" s="82"/>
      <c r="H20" s="83"/>
      <c r="I20" s="64"/>
      <c r="J20" s="66"/>
      <c r="K20" s="66"/>
      <c r="L20" s="66"/>
      <c r="M20" s="66"/>
      <c r="N20" s="67"/>
      <c r="O20" s="67"/>
    </row>
    <row r="21" spans="1:15" s="68" customFormat="1">
      <c r="A21" s="84"/>
      <c r="B21" s="85"/>
      <c r="C21" s="86"/>
      <c r="D21" s="86"/>
      <c r="E21" s="87"/>
      <c r="F21" s="87"/>
      <c r="G21" s="87"/>
      <c r="H21" s="88"/>
      <c r="I21" s="64"/>
      <c r="J21" s="65"/>
      <c r="K21" s="65"/>
      <c r="L21" s="65"/>
      <c r="M21" s="65"/>
      <c r="N21" s="89"/>
      <c r="O21" s="89"/>
    </row>
    <row r="22" spans="1:15" s="68" customFormat="1">
      <c r="A22" s="101"/>
      <c r="B22" s="90"/>
      <c r="C22" s="91"/>
      <c r="D22" s="91"/>
      <c r="E22" s="92"/>
      <c r="F22" s="92"/>
      <c r="G22" s="92"/>
      <c r="H22" s="93"/>
      <c r="I22" s="64"/>
      <c r="J22" s="65"/>
      <c r="K22" s="65"/>
      <c r="L22" s="65"/>
      <c r="M22" s="65"/>
      <c r="N22" s="89"/>
      <c r="O22" s="89"/>
    </row>
    <row r="23" spans="1:15" s="68" customFormat="1">
      <c r="A23" s="94"/>
      <c r="B23" s="95"/>
      <c r="C23" s="95"/>
      <c r="D23" s="95"/>
      <c r="E23" s="96"/>
      <c r="F23" s="96"/>
      <c r="G23" s="96"/>
      <c r="H23" s="97"/>
      <c r="I23" s="64"/>
      <c r="J23" s="65"/>
      <c r="K23" s="65"/>
      <c r="L23" s="65"/>
      <c r="M23" s="65"/>
      <c r="N23" s="89"/>
      <c r="O23" s="89"/>
    </row>
    <row r="24" spans="1:15" s="68" customFormat="1">
      <c r="A24" s="98"/>
      <c r="B24" s="95"/>
      <c r="C24" s="67"/>
      <c r="D24" s="67"/>
      <c r="E24" s="70"/>
      <c r="F24" s="70"/>
      <c r="G24" s="70"/>
      <c r="H24" s="71"/>
      <c r="I24" s="64"/>
      <c r="J24" s="65"/>
      <c r="K24" s="65"/>
      <c r="L24" s="65"/>
      <c r="M24" s="65"/>
      <c r="N24" s="89"/>
      <c r="O24" s="89"/>
    </row>
    <row r="25" spans="1:15" s="68" customFormat="1">
      <c r="A25" s="98"/>
      <c r="B25" s="95"/>
      <c r="C25" s="67"/>
      <c r="D25" s="67"/>
      <c r="E25" s="70"/>
      <c r="F25" s="70"/>
      <c r="G25" s="70"/>
      <c r="H25" s="71"/>
      <c r="I25" s="64"/>
      <c r="J25" s="65"/>
      <c r="K25" s="65"/>
      <c r="L25" s="65"/>
      <c r="M25" s="65"/>
      <c r="N25" s="89"/>
      <c r="O25" s="89"/>
    </row>
    <row r="26" spans="1:15" s="68" customFormat="1">
      <c r="A26" s="98"/>
      <c r="B26" s="95"/>
      <c r="C26" s="67"/>
      <c r="D26" s="67"/>
      <c r="E26" s="70"/>
      <c r="F26" s="70"/>
      <c r="G26" s="70"/>
      <c r="H26" s="71"/>
      <c r="I26" s="64"/>
      <c r="J26" s="65"/>
      <c r="K26" s="65"/>
      <c r="L26" s="65"/>
      <c r="M26" s="65"/>
      <c r="N26" s="89"/>
      <c r="O26" s="89"/>
    </row>
    <row r="27" spans="1:15" s="68" customFormat="1">
      <c r="A27" s="98"/>
      <c r="B27" s="95"/>
      <c r="C27" s="67"/>
      <c r="D27" s="67"/>
      <c r="E27" s="70"/>
      <c r="F27" s="70"/>
      <c r="G27" s="70"/>
      <c r="H27" s="71"/>
      <c r="I27" s="64"/>
      <c r="J27" s="65"/>
      <c r="K27" s="65"/>
      <c r="L27" s="65"/>
      <c r="M27" s="65"/>
      <c r="N27" s="89"/>
      <c r="O27" s="89"/>
    </row>
    <row r="28" spans="1:15" s="68" customFormat="1">
      <c r="A28" s="98"/>
      <c r="B28" s="95"/>
      <c r="C28" s="67"/>
      <c r="D28" s="67"/>
      <c r="E28" s="70"/>
      <c r="F28" s="70"/>
      <c r="G28" s="70"/>
      <c r="H28" s="71"/>
      <c r="I28" s="64"/>
      <c r="J28" s="65"/>
      <c r="K28" s="65"/>
      <c r="L28" s="65"/>
      <c r="M28" s="65"/>
      <c r="N28" s="89"/>
      <c r="O28" s="89"/>
    </row>
    <row r="29" spans="1:15" s="68" customFormat="1">
      <c r="A29" s="98"/>
      <c r="B29" s="95"/>
      <c r="C29" s="67"/>
      <c r="D29" s="67"/>
      <c r="E29" s="70"/>
      <c r="F29" s="70"/>
      <c r="G29" s="70"/>
      <c r="H29" s="71"/>
      <c r="I29" s="64"/>
      <c r="J29" s="65"/>
      <c r="K29" s="65"/>
      <c r="L29" s="65"/>
      <c r="M29" s="65"/>
      <c r="N29" s="89"/>
      <c r="O29" s="89"/>
    </row>
    <row r="30" spans="1:15" s="68" customFormat="1">
      <c r="A30" s="60"/>
      <c r="B30" s="61"/>
      <c r="C30" s="61"/>
      <c r="D30" s="61"/>
      <c r="E30" s="62"/>
      <c r="F30" s="62"/>
      <c r="G30" s="62"/>
      <c r="H30" s="63"/>
      <c r="I30" s="64"/>
      <c r="J30" s="65"/>
      <c r="K30" s="65"/>
      <c r="L30" s="65"/>
      <c r="M30" s="65"/>
      <c r="N30" s="67"/>
      <c r="O30" s="67"/>
    </row>
    <row r="31" spans="1:15" s="68" customFormat="1">
      <c r="A31" s="98"/>
      <c r="B31" s="69"/>
      <c r="C31" s="67"/>
      <c r="D31" s="67"/>
      <c r="E31" s="70"/>
      <c r="F31" s="70"/>
      <c r="G31" s="70"/>
      <c r="H31" s="71"/>
      <c r="I31" s="64"/>
      <c r="J31" s="65"/>
      <c r="K31" s="65"/>
      <c r="L31" s="65"/>
      <c r="M31" s="65"/>
      <c r="N31" s="67"/>
      <c r="O31" s="67"/>
    </row>
    <row r="32" spans="1:15" s="68" customFormat="1">
      <c r="A32" s="98"/>
      <c r="B32" s="69"/>
      <c r="C32" s="67"/>
      <c r="D32" s="67"/>
      <c r="E32" s="70"/>
      <c r="F32" s="70"/>
      <c r="G32" s="70"/>
      <c r="H32" s="71"/>
      <c r="I32" s="64"/>
      <c r="J32" s="65"/>
      <c r="K32" s="65"/>
      <c r="L32" s="65"/>
      <c r="M32" s="65"/>
      <c r="N32" s="67"/>
      <c r="O32" s="67"/>
    </row>
    <row r="33" spans="1:15" s="68" customFormat="1">
      <c r="A33" s="98"/>
      <c r="B33" s="69"/>
      <c r="C33" s="67"/>
      <c r="D33" s="67"/>
      <c r="E33" s="70"/>
      <c r="F33" s="70"/>
      <c r="G33" s="70"/>
      <c r="H33" s="71"/>
      <c r="I33" s="64"/>
      <c r="J33" s="65"/>
      <c r="K33" s="65"/>
      <c r="L33" s="65"/>
      <c r="M33" s="65"/>
      <c r="N33" s="67"/>
      <c r="O33" s="67"/>
    </row>
    <row r="34" spans="1:15" s="68" customFormat="1">
      <c r="A34" s="98"/>
      <c r="B34" s="69"/>
      <c r="C34" s="67"/>
      <c r="D34" s="67"/>
      <c r="E34" s="70"/>
      <c r="F34" s="70"/>
      <c r="G34" s="70"/>
      <c r="H34" s="71"/>
      <c r="I34" s="64"/>
      <c r="J34" s="65"/>
      <c r="K34" s="65"/>
      <c r="L34" s="65"/>
      <c r="M34" s="65"/>
      <c r="N34" s="67"/>
      <c r="O34" s="67"/>
    </row>
    <row r="35" spans="1:15" s="68" customFormat="1">
      <c r="A35" s="99"/>
      <c r="B35" s="72"/>
      <c r="C35" s="73"/>
      <c r="D35" s="73"/>
      <c r="E35" s="74"/>
      <c r="F35" s="74"/>
      <c r="G35" s="74"/>
      <c r="H35" s="75"/>
      <c r="I35" s="64"/>
      <c r="J35" s="65"/>
      <c r="K35" s="65"/>
      <c r="L35" s="65"/>
      <c r="M35" s="65"/>
      <c r="N35" s="67"/>
      <c r="O35" s="67"/>
    </row>
    <row r="36" spans="1:15" s="68" customFormat="1">
      <c r="A36" s="95"/>
      <c r="B36" s="95"/>
      <c r="C36" s="95"/>
      <c r="D36" s="95"/>
      <c r="E36" s="95"/>
      <c r="F36" s="95"/>
      <c r="G36" s="95"/>
      <c r="H36" s="95"/>
      <c r="I36" s="64"/>
      <c r="J36" s="65"/>
      <c r="K36" s="65"/>
      <c r="L36" s="65"/>
      <c r="M36" s="65"/>
      <c r="N36" s="67"/>
      <c r="O36" s="6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DBF16D-831B-4EA9-BC48-EF7EFB83146C}">
          <x14:formula1>
            <xm:f>'Options for KPI UT Levels'!$B$2:$B$47</xm:f>
          </x14:formula1>
          <xm:sqref>D30:D35 D3 D6:D10</xm:sqref>
        </x14:dataValidation>
        <x14:dataValidation type="list" allowBlank="1" showInputMessage="1" showErrorMessage="1" xr:uid="{3AA5E80B-FEA4-4818-8AF0-3B5C1ED2D222}">
          <x14:formula1>
            <xm:f>'Options for KPI UT Levels'!$A$2:$A$47</xm:f>
          </x14:formula1>
          <xm:sqref>H1 C30:C36 C21:C22 C3:C18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5974-F828-42BC-B31E-0A9185781458}">
  <sheetPr>
    <tabColor rgb="FF00B0F0"/>
  </sheetPr>
  <dimension ref="A1:O12"/>
  <sheetViews>
    <sheetView zoomScale="150" workbookViewId="0">
      <selection activeCell="G10" sqref="G10"/>
    </sheetView>
  </sheetViews>
  <sheetFormatPr defaultColWidth="8.875" defaultRowHeight="15.95"/>
  <cols>
    <col min="1" max="1" width="43.875" customWidth="1"/>
    <col min="2" max="2" width="19.375" customWidth="1"/>
    <col min="3" max="3" width="10.125" bestFit="1" customWidth="1"/>
    <col min="4" max="4" width="29.625" bestFit="1" customWidth="1"/>
    <col min="5" max="7" width="13.5" bestFit="1" customWidth="1"/>
    <col min="8" max="8" width="14.5" bestFit="1" customWidth="1"/>
    <col min="9" max="9" width="13.5" bestFit="1" customWidth="1"/>
  </cols>
  <sheetData>
    <row r="1" spans="1:15" ht="21.95">
      <c r="A1" s="6" t="s">
        <v>49</v>
      </c>
      <c r="B1" s="6"/>
      <c r="C1" s="6"/>
      <c r="D1" s="6"/>
      <c r="E1" s="6"/>
      <c r="F1" s="6"/>
      <c r="G1" s="6"/>
      <c r="H1" s="6"/>
      <c r="I1" s="6"/>
      <c r="J1" s="20"/>
      <c r="K1" s="6"/>
      <c r="L1" s="6"/>
      <c r="M1" s="6"/>
      <c r="N1" s="6"/>
      <c r="O1" s="6"/>
    </row>
    <row r="2" spans="1:15" ht="17.100000000000001" thickBot="1">
      <c r="A2" s="111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1" t="s">
        <v>6</v>
      </c>
      <c r="G2" s="111" t="s">
        <v>7</v>
      </c>
      <c r="H2" s="111" t="s">
        <v>8</v>
      </c>
      <c r="I2" s="111" t="s">
        <v>40</v>
      </c>
      <c r="J2" s="21"/>
      <c r="K2" s="7"/>
      <c r="L2" s="7"/>
      <c r="M2" s="7"/>
      <c r="N2" s="7"/>
      <c r="O2" s="7"/>
    </row>
    <row r="3" spans="1:15">
      <c r="A3" s="51" t="s">
        <v>50</v>
      </c>
      <c r="B3" s="17" t="s">
        <v>51</v>
      </c>
      <c r="C3" s="17" t="s">
        <v>15</v>
      </c>
      <c r="D3" s="17" t="s">
        <v>27</v>
      </c>
      <c r="E3" s="37">
        <v>36772.784999999996</v>
      </c>
      <c r="F3" s="37">
        <v>77222.848499999993</v>
      </c>
      <c r="G3" s="37">
        <v>110318.355</v>
      </c>
      <c r="H3" s="37">
        <v>143413.8615</v>
      </c>
      <c r="I3" s="107">
        <f>SUM(E3:H3)</f>
        <v>367727.85</v>
      </c>
    </row>
    <row r="4" spans="1:15">
      <c r="A4" s="112" t="s">
        <v>50</v>
      </c>
      <c r="B4" s="106" t="s">
        <v>51</v>
      </c>
      <c r="C4" s="5" t="s">
        <v>17</v>
      </c>
      <c r="D4" s="5" t="s">
        <v>18</v>
      </c>
      <c r="E4" s="39">
        <v>15759.764999999999</v>
      </c>
      <c r="F4" s="39">
        <v>33095.506499999996</v>
      </c>
      <c r="G4" s="39">
        <v>47279.294999999998</v>
      </c>
      <c r="H4" s="39">
        <v>61463.083500000001</v>
      </c>
      <c r="I4" s="108">
        <f t="shared" ref="I4:I12" si="0">SUM(E4:H4)</f>
        <v>157597.65</v>
      </c>
    </row>
    <row r="5" spans="1:15">
      <c r="A5" s="112" t="s">
        <v>50</v>
      </c>
      <c r="B5" s="106" t="s">
        <v>51</v>
      </c>
      <c r="C5" s="5" t="s">
        <v>19</v>
      </c>
      <c r="D5" s="5" t="s">
        <v>20</v>
      </c>
      <c r="E5" s="39">
        <v>62513.734499999999</v>
      </c>
      <c r="F5" s="39">
        <v>84577.405499999993</v>
      </c>
      <c r="G5" s="39">
        <v>91931.962499999994</v>
      </c>
      <c r="H5" s="39">
        <v>128704.74749999998</v>
      </c>
      <c r="I5" s="108">
        <f t="shared" si="0"/>
        <v>367727.85</v>
      </c>
    </row>
    <row r="6" spans="1:15" ht="17.100000000000001" thickBot="1">
      <c r="A6" s="113" t="s">
        <v>50</v>
      </c>
      <c r="B6" s="109" t="s">
        <v>51</v>
      </c>
      <c r="C6" s="19" t="s">
        <v>21</v>
      </c>
      <c r="D6" s="19" t="s">
        <v>22</v>
      </c>
      <c r="E6" s="41">
        <v>26791.6005</v>
      </c>
      <c r="F6" s="41">
        <v>36247.459499999997</v>
      </c>
      <c r="G6" s="41">
        <v>39399.412499999999</v>
      </c>
      <c r="H6" s="41">
        <v>55159.177499999998</v>
      </c>
      <c r="I6" s="110">
        <f t="shared" si="0"/>
        <v>157597.65</v>
      </c>
    </row>
    <row r="7" spans="1:15">
      <c r="A7" s="51" t="s">
        <v>52</v>
      </c>
      <c r="B7" s="17" t="s">
        <v>53</v>
      </c>
      <c r="C7" s="17" t="s">
        <v>15</v>
      </c>
      <c r="D7" s="17" t="s">
        <v>27</v>
      </c>
      <c r="E7" s="37">
        <v>370669.67279999994</v>
      </c>
      <c r="F7" s="37">
        <v>778406.31287999987</v>
      </c>
      <c r="G7" s="37">
        <v>1112009.0183999999</v>
      </c>
      <c r="H7" s="37">
        <v>1445611.72392</v>
      </c>
      <c r="I7" s="107">
        <f t="shared" si="0"/>
        <v>3706696.7280000001</v>
      </c>
    </row>
    <row r="8" spans="1:15">
      <c r="A8" s="112" t="s">
        <v>52</v>
      </c>
      <c r="B8" s="106" t="s">
        <v>53</v>
      </c>
      <c r="C8" s="5" t="s">
        <v>19</v>
      </c>
      <c r="D8" s="5" t="s">
        <v>20</v>
      </c>
      <c r="E8" s="39">
        <v>321499.20600000001</v>
      </c>
      <c r="F8" s="39">
        <v>434969.51399999997</v>
      </c>
      <c r="G8" s="39">
        <v>472792.95</v>
      </c>
      <c r="H8" s="39">
        <v>661910.12999999989</v>
      </c>
      <c r="I8" s="108">
        <f t="shared" si="0"/>
        <v>1891171.7999999998</v>
      </c>
    </row>
    <row r="9" spans="1:15" ht="17.100000000000001" thickBot="1">
      <c r="A9" s="113" t="s">
        <v>52</v>
      </c>
      <c r="B9" s="109" t="s">
        <v>53</v>
      </c>
      <c r="C9" s="115" t="s">
        <v>54</v>
      </c>
      <c r="D9" s="19" t="s">
        <v>55</v>
      </c>
      <c r="E9" s="41">
        <v>42510.976206280793</v>
      </c>
      <c r="F9" s="41">
        <v>89273.050033189662</v>
      </c>
      <c r="G9" s="41">
        <v>127532.92861884236</v>
      </c>
      <c r="H9" s="41">
        <v>165792.80720449507</v>
      </c>
      <c r="I9" s="110">
        <f t="shared" si="0"/>
        <v>425109.76206280792</v>
      </c>
    </row>
    <row r="10" spans="1:15" ht="17.100000000000001" thickBot="1">
      <c r="A10" s="51" t="s">
        <v>56</v>
      </c>
      <c r="B10" s="5" t="s">
        <v>57</v>
      </c>
      <c r="C10" s="115" t="s">
        <v>54</v>
      </c>
      <c r="D10" s="115" t="s">
        <v>55</v>
      </c>
      <c r="E10" s="41">
        <v>500000</v>
      </c>
      <c r="F10" s="116">
        <v>200000</v>
      </c>
      <c r="G10" s="116">
        <v>50000</v>
      </c>
      <c r="H10" s="116">
        <v>50000</v>
      </c>
      <c r="I10" s="117">
        <f t="shared" si="0"/>
        <v>800000</v>
      </c>
    </row>
    <row r="11" spans="1:15" s="68" customFormat="1" ht="17.100000000000001" thickBot="1">
      <c r="A11" s="104" t="s">
        <v>45</v>
      </c>
      <c r="B11" s="67" t="s">
        <v>46</v>
      </c>
      <c r="C11" s="34" t="s">
        <v>21</v>
      </c>
      <c r="D11" s="34" t="s">
        <v>22</v>
      </c>
      <c r="E11" s="41">
        <v>308904.51693461498</v>
      </c>
      <c r="F11" s="41">
        <v>648699.4855626924</v>
      </c>
      <c r="G11" s="41">
        <v>926713.55080384621</v>
      </c>
      <c r="H11" s="41">
        <v>1204727.6160450003</v>
      </c>
      <c r="I11" s="117">
        <f t="shared" si="0"/>
        <v>3089045.1693461537</v>
      </c>
      <c r="J11" s="65"/>
      <c r="K11" s="65"/>
      <c r="L11" s="65"/>
      <c r="M11" s="66"/>
      <c r="N11" s="66"/>
      <c r="O11" s="67"/>
    </row>
    <row r="12" spans="1:15" ht="17.100000000000001" thickBot="1">
      <c r="A12" s="113" t="s">
        <v>45</v>
      </c>
      <c r="B12" s="106" t="s">
        <v>46</v>
      </c>
      <c r="C12" s="115" t="s">
        <v>17</v>
      </c>
      <c r="D12" s="5" t="s">
        <v>18</v>
      </c>
      <c r="E12" s="118">
        <f>E11*1.5</f>
        <v>463356.77540192247</v>
      </c>
      <c r="F12" s="118">
        <f t="shared" ref="F12:H12" si="1">F11*1.5</f>
        <v>973049.22834403859</v>
      </c>
      <c r="G12" s="118">
        <f t="shared" si="1"/>
        <v>1390070.3262057693</v>
      </c>
      <c r="H12" s="118">
        <f t="shared" si="1"/>
        <v>1807091.4240675005</v>
      </c>
      <c r="I12" s="117">
        <f>SUM(E12:H12)</f>
        <v>4633567.7540192306</v>
      </c>
    </row>
  </sheetData>
  <phoneticPr fontId="9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659247-EC5C-4AD1-A92D-675F829C32AC}">
          <x14:formula1>
            <xm:f>'Options for KPI UT Levels'!$A$2:$A$47</xm:f>
          </x14:formula1>
          <xm:sqref>H1 C11 C3:C8</xm:sqref>
        </x14:dataValidation>
        <x14:dataValidation type="list" allowBlank="1" showInputMessage="1" showErrorMessage="1" xr:uid="{B287AD2D-D623-4DD8-9AEB-3424E85ED553}">
          <x14:formula1>
            <xm:f>'Options for KPI UT Levels'!$B$2:$B$47</xm:f>
          </x14:formula1>
          <xm:sqref>D9 D11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="53" zoomScaleNormal="100" workbookViewId="0">
      <selection activeCell="B17" sqref="B17"/>
    </sheetView>
  </sheetViews>
  <sheetFormatPr defaultColWidth="10.875" defaultRowHeight="21.95" customHeight="1"/>
  <cols>
    <col min="1" max="1" width="33.5" style="4" bestFit="1" customWidth="1"/>
    <col min="2" max="2" width="47.625" style="2" bestFit="1" customWidth="1"/>
    <col min="3" max="16384" width="10.875" style="2"/>
  </cols>
  <sheetData>
    <row r="1" spans="1:2" ht="21.95" customHeight="1">
      <c r="A1" s="1" t="s">
        <v>3</v>
      </c>
      <c r="B1" s="1" t="s">
        <v>4</v>
      </c>
    </row>
    <row r="2" spans="1:2" ht="21.95" customHeight="1">
      <c r="A2" s="120" t="s">
        <v>58</v>
      </c>
      <c r="B2" s="2" t="s">
        <v>59</v>
      </c>
    </row>
    <row r="3" spans="1:2" ht="21.95" customHeight="1">
      <c r="A3" s="120"/>
      <c r="B3" s="2" t="s">
        <v>60</v>
      </c>
    </row>
    <row r="4" spans="1:2" ht="21.95" customHeight="1">
      <c r="A4" s="120"/>
      <c r="B4" s="2" t="s">
        <v>61</v>
      </c>
    </row>
    <row r="5" spans="1:2" ht="21.95" customHeight="1">
      <c r="A5" s="121"/>
      <c r="B5" s="3" t="s">
        <v>62</v>
      </c>
    </row>
    <row r="6" spans="1:2" ht="21.95" customHeight="1">
      <c r="A6" s="120" t="s">
        <v>63</v>
      </c>
      <c r="B6" s="2" t="s">
        <v>64</v>
      </c>
    </row>
    <row r="7" spans="1:2" ht="21.95" customHeight="1">
      <c r="A7" s="120"/>
      <c r="B7" s="2" t="s">
        <v>65</v>
      </c>
    </row>
    <row r="8" spans="1:2" ht="21.95" customHeight="1">
      <c r="A8" s="121"/>
      <c r="B8" s="3" t="s">
        <v>66</v>
      </c>
    </row>
    <row r="9" spans="1:2" ht="21.95" customHeight="1">
      <c r="A9" s="120" t="s">
        <v>67</v>
      </c>
      <c r="B9" s="2" t="s">
        <v>68</v>
      </c>
    </row>
    <row r="10" spans="1:2" ht="21.95" customHeight="1">
      <c r="A10" s="120"/>
      <c r="B10" s="2" t="s">
        <v>69</v>
      </c>
    </row>
    <row r="11" spans="1:2" ht="21.95" customHeight="1">
      <c r="A11" s="121"/>
      <c r="B11" s="3" t="s">
        <v>70</v>
      </c>
    </row>
    <row r="12" spans="1:2" ht="21.95" customHeight="1">
      <c r="A12" s="120" t="s">
        <v>11</v>
      </c>
      <c r="B12" s="2" t="s">
        <v>12</v>
      </c>
    </row>
    <row r="13" spans="1:2" ht="21.95" customHeight="1">
      <c r="A13" s="120"/>
      <c r="B13" s="2" t="s">
        <v>71</v>
      </c>
    </row>
    <row r="14" spans="1:2" ht="21.95" customHeight="1">
      <c r="A14" s="121"/>
      <c r="B14" s="3" t="s">
        <v>72</v>
      </c>
    </row>
    <row r="15" spans="1:2" ht="21.95" customHeight="1">
      <c r="A15" s="119" t="s">
        <v>73</v>
      </c>
      <c r="B15" s="3" t="s">
        <v>74</v>
      </c>
    </row>
    <row r="16" spans="1:2" ht="21.95" customHeight="1">
      <c r="A16" s="120" t="s">
        <v>54</v>
      </c>
      <c r="B16" s="2" t="s">
        <v>75</v>
      </c>
    </row>
    <row r="17" spans="1:2" ht="21.95" customHeight="1">
      <c r="A17" s="120"/>
      <c r="B17" s="2" t="s">
        <v>55</v>
      </c>
    </row>
    <row r="18" spans="1:2" ht="21.95" customHeight="1">
      <c r="A18" s="120"/>
      <c r="B18" s="2" t="s">
        <v>76</v>
      </c>
    </row>
    <row r="19" spans="1:2" ht="21.95" customHeight="1">
      <c r="A19" s="121"/>
      <c r="B19" s="3" t="s">
        <v>77</v>
      </c>
    </row>
    <row r="20" spans="1:2" ht="21.95" customHeight="1">
      <c r="A20" s="119" t="s">
        <v>78</v>
      </c>
      <c r="B20" s="3" t="s">
        <v>79</v>
      </c>
    </row>
    <row r="21" spans="1:2" ht="21.95" customHeight="1">
      <c r="A21" s="120" t="s">
        <v>80</v>
      </c>
      <c r="B21" s="2" t="s">
        <v>81</v>
      </c>
    </row>
    <row r="22" spans="1:2" ht="21.95" customHeight="1">
      <c r="A22" s="120"/>
      <c r="B22" s="2" t="s">
        <v>82</v>
      </c>
    </row>
    <row r="23" spans="1:2" ht="21.95" customHeight="1">
      <c r="A23" s="121"/>
      <c r="B23" s="3" t="s">
        <v>83</v>
      </c>
    </row>
    <row r="24" spans="1:2" ht="21.95" customHeight="1">
      <c r="A24" s="120" t="s">
        <v>15</v>
      </c>
      <c r="B24" s="2" t="s">
        <v>84</v>
      </c>
    </row>
    <row r="25" spans="1:2" ht="21.95" customHeight="1">
      <c r="A25" s="120"/>
      <c r="B25" s="2" t="s">
        <v>85</v>
      </c>
    </row>
    <row r="26" spans="1:2" ht="21.95" customHeight="1">
      <c r="A26" s="120"/>
      <c r="B26" s="2" t="s">
        <v>86</v>
      </c>
    </row>
    <row r="27" spans="1:2" ht="21.95" customHeight="1">
      <c r="A27" s="120"/>
      <c r="B27" s="2" t="s">
        <v>16</v>
      </c>
    </row>
    <row r="28" spans="1:2" ht="21.95" customHeight="1">
      <c r="A28" s="120"/>
      <c r="B28" s="2" t="s">
        <v>27</v>
      </c>
    </row>
    <row r="29" spans="1:2" ht="21.95" customHeight="1">
      <c r="A29" s="120"/>
      <c r="B29" s="2" t="s">
        <v>36</v>
      </c>
    </row>
    <row r="30" spans="1:2" ht="21.95" customHeight="1">
      <c r="A30" s="120"/>
      <c r="B30" s="2" t="s">
        <v>87</v>
      </c>
    </row>
    <row r="31" spans="1:2" ht="21.95" customHeight="1">
      <c r="A31" s="121"/>
      <c r="B31" s="3" t="s">
        <v>88</v>
      </c>
    </row>
    <row r="32" spans="1:2" ht="21.95" customHeight="1">
      <c r="A32" s="120" t="s">
        <v>19</v>
      </c>
      <c r="B32" s="2" t="s">
        <v>89</v>
      </c>
    </row>
    <row r="33" spans="1:2" ht="21.95" customHeight="1">
      <c r="A33" s="120"/>
      <c r="B33" s="2" t="s">
        <v>90</v>
      </c>
    </row>
    <row r="34" spans="1:2" ht="21.95" customHeight="1">
      <c r="A34" s="120"/>
      <c r="B34" s="2" t="s">
        <v>91</v>
      </c>
    </row>
    <row r="35" spans="1:2" ht="21.95" customHeight="1">
      <c r="A35" s="120"/>
      <c r="B35" s="2" t="s">
        <v>92</v>
      </c>
    </row>
    <row r="36" spans="1:2" ht="21.95" customHeight="1">
      <c r="A36" s="120"/>
      <c r="B36" s="2" t="s">
        <v>20</v>
      </c>
    </row>
    <row r="37" spans="1:2" ht="21.95" customHeight="1">
      <c r="A37" s="120"/>
      <c r="B37" s="2" t="s">
        <v>93</v>
      </c>
    </row>
    <row r="38" spans="1:2" ht="21.95" customHeight="1">
      <c r="A38" s="120"/>
      <c r="B38" s="2" t="s">
        <v>94</v>
      </c>
    </row>
    <row r="39" spans="1:2" ht="21.95" customHeight="1">
      <c r="A39" s="121"/>
      <c r="B39" s="3" t="s">
        <v>95</v>
      </c>
    </row>
    <row r="40" spans="1:2" ht="21.95" customHeight="1">
      <c r="A40" s="119" t="s">
        <v>96</v>
      </c>
      <c r="B40" s="3" t="s">
        <v>97</v>
      </c>
    </row>
    <row r="41" spans="1:2" ht="21.95" customHeight="1">
      <c r="A41" s="120" t="s">
        <v>98</v>
      </c>
      <c r="B41" s="2" t="s">
        <v>99</v>
      </c>
    </row>
    <row r="42" spans="1:2" ht="21.95" customHeight="1">
      <c r="A42" s="121"/>
      <c r="B42" s="3" t="s">
        <v>100</v>
      </c>
    </row>
    <row r="43" spans="1:2" ht="21.95" customHeight="1">
      <c r="A43" s="120" t="s">
        <v>17</v>
      </c>
      <c r="B43" s="2" t="s">
        <v>18</v>
      </c>
    </row>
    <row r="44" spans="1:2" ht="21.95" customHeight="1">
      <c r="A44" s="121"/>
      <c r="B44" s="3" t="s">
        <v>101</v>
      </c>
    </row>
    <row r="45" spans="1:2" ht="21.95" customHeight="1">
      <c r="A45" s="120" t="s">
        <v>21</v>
      </c>
      <c r="B45" s="2" t="s">
        <v>102</v>
      </c>
    </row>
    <row r="46" spans="1:2" ht="21.95" customHeight="1">
      <c r="A46" s="120"/>
      <c r="B46" s="2" t="s">
        <v>103</v>
      </c>
    </row>
    <row r="47" spans="1:2" ht="21.95" customHeight="1">
      <c r="A47" s="121"/>
      <c r="B47" s="3" t="s">
        <v>104</v>
      </c>
    </row>
  </sheetData>
  <mergeCells count="11">
    <mergeCell ref="A24:A31"/>
    <mergeCell ref="A32:A39"/>
    <mergeCell ref="A41:A42"/>
    <mergeCell ref="A43:A44"/>
    <mergeCell ref="A45:A47"/>
    <mergeCell ref="A21:A23"/>
    <mergeCell ref="A2:A5"/>
    <mergeCell ref="A6:A8"/>
    <mergeCell ref="A9:A11"/>
    <mergeCell ref="A12:A14"/>
    <mergeCell ref="A16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C4" sqref="C4"/>
    </sheetView>
  </sheetViews>
  <sheetFormatPr defaultColWidth="8.875" defaultRowHeight="15.95"/>
  <cols>
    <col min="1" max="1" width="24.875" customWidth="1"/>
  </cols>
  <sheetData>
    <row r="1" spans="1:5">
      <c r="A1" s="8"/>
      <c r="B1" s="122" t="s">
        <v>105</v>
      </c>
      <c r="C1" s="122"/>
      <c r="D1" s="122"/>
      <c r="E1" s="122"/>
    </row>
    <row r="2" spans="1:5">
      <c r="A2" s="9"/>
      <c r="B2" s="10" t="s">
        <v>5</v>
      </c>
      <c r="C2" s="10" t="s">
        <v>106</v>
      </c>
      <c r="D2" s="10" t="s">
        <v>7</v>
      </c>
      <c r="E2" s="10" t="s">
        <v>8</v>
      </c>
    </row>
    <row r="3" spans="1:5">
      <c r="A3" s="11" t="s">
        <v>107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108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109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308CB8-6F41-47A1-A7FA-F6896EEA67B8}"/>
</file>

<file path=customXml/itemProps2.xml><?xml version="1.0" encoding="utf-8"?>
<ds:datastoreItem xmlns:ds="http://schemas.openxmlformats.org/officeDocument/2006/customXml" ds:itemID="{7D8C4767-4D22-45B1-BCBF-E6BA997C4D9A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JENNINE JANZER</cp:lastModifiedBy>
  <cp:revision/>
  <dcterms:created xsi:type="dcterms:W3CDTF">2026-02-19T16:21:33Z</dcterms:created>
  <dcterms:modified xsi:type="dcterms:W3CDTF">2026-07-29T17:58:00Z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