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18"/>
  <workbookPr/>
  <mc:AlternateContent xmlns:mc="http://schemas.openxmlformats.org/markup-compatibility/2006">
    <mc:Choice Requires="x15">
      <x15ac:absPath xmlns:x15ac="http://schemas.microsoft.com/office/spreadsheetml/2010/11/ac" url="/Users/lindsaywershaw/Library/Application Support/Box/Box Edit/Documents/2146491035292/"/>
    </mc:Choice>
  </mc:AlternateContent>
  <xr:revisionPtr revIDLastSave="77" documentId="13_ncr:1_{ABC8C6FD-2568-D047-8A0F-0D36455B8086}" xr6:coauthVersionLast="47" xr6:coauthVersionMax="47" xr10:uidLastSave="{775DB52F-9597-42A6-B946-957C744EC59B}"/>
  <bookViews>
    <workbookView xWindow="0" yWindow="660" windowWidth="29400" windowHeight="17420" firstSheet="3" activeTab="3" xr2:uid="{34DAB5B8-0534-154D-B765-6F9AFE0242E3}"/>
  </bookViews>
  <sheets>
    <sheet name="Q2 Projections" sheetId="2" r:id="rId1"/>
    <sheet name="Options for KPI UT Levels" sheetId="1" r:id="rId2"/>
    <sheet name="Q3 Projections" sheetId="4" r:id="rId3"/>
    <sheet name="Q4 Projections" sheetId="5" r:id="rId4"/>
    <sheet name="Sheet1" sheetId="3" r:id="rId5"/>
  </sheets>
  <definedNames>
    <definedName name="_xlnm._FilterDatabase" localSheetId="2" hidden="1">'Q3 Projections'!$A$2:$J$43</definedName>
    <definedName name="_xlnm._FilterDatabase" localSheetId="3" hidden="1">'Q4 Projections'!$A$2:$K$24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4" i="5" l="1"/>
  <c r="E32" i="5"/>
  <c r="E27" i="5"/>
  <c r="E26" i="5"/>
  <c r="E28" i="5"/>
  <c r="E29" i="5"/>
  <c r="E30" i="5"/>
  <c r="E31" i="5"/>
  <c r="E33" i="5"/>
  <c r="E34" i="5"/>
  <c r="E35" i="5"/>
  <c r="E36" i="5"/>
  <c r="E37" i="5"/>
  <c r="E38" i="5"/>
  <c r="E39" i="5"/>
  <c r="E40" i="5"/>
  <c r="E41" i="5"/>
  <c r="E42" i="5"/>
  <c r="E43" i="5"/>
  <c r="E25" i="5"/>
  <c r="I11" i="4"/>
  <c r="H11" i="4"/>
  <c r="G11" i="4"/>
  <c r="F11" i="4"/>
  <c r="E11" i="4"/>
  <c r="E10" i="4"/>
  <c r="E8" i="2"/>
  <c r="E9" i="2"/>
  <c r="E10" i="2"/>
  <c r="E11" i="2"/>
  <c r="E7" i="2"/>
  <c r="E6" i="2"/>
  <c r="I39" i="4"/>
  <c r="H39" i="4"/>
  <c r="G39" i="4"/>
  <c r="F39" i="4"/>
  <c r="E39" i="4"/>
  <c r="I40" i="4"/>
  <c r="H40" i="4"/>
  <c r="G40" i="4"/>
  <c r="F40" i="4"/>
  <c r="E40" i="4"/>
  <c r="E20" i="5"/>
  <c r="I19" i="5"/>
  <c r="H19" i="5"/>
  <c r="G19" i="5"/>
  <c r="F19" i="5"/>
  <c r="E19" i="5" s="1"/>
  <c r="I8" i="5"/>
  <c r="H8" i="5"/>
  <c r="G8" i="5"/>
  <c r="F8" i="5"/>
  <c r="E8" i="5" s="1"/>
  <c r="E37" i="4" l="1"/>
  <c r="E36" i="4"/>
  <c r="E35" i="4"/>
  <c r="E34" i="4"/>
  <c r="E33" i="4"/>
  <c r="E32" i="4"/>
  <c r="E30" i="4"/>
  <c r="E31" i="4"/>
  <c r="E27" i="4"/>
  <c r="E28" i="4"/>
  <c r="E29" i="4"/>
  <c r="E26" i="4"/>
  <c r="E25" i="4"/>
  <c r="E24" i="4"/>
  <c r="E23" i="4"/>
  <c r="E20" i="4"/>
  <c r="E21" i="4"/>
  <c r="E22" i="4"/>
  <c r="E19" i="4"/>
  <c r="E18" i="4"/>
  <c r="E17" i="4"/>
  <c r="E16" i="4"/>
  <c r="E15" i="4"/>
  <c r="E14" i="4"/>
  <c r="E13" i="4"/>
  <c r="E12" i="4"/>
  <c r="E9" i="4"/>
  <c r="E8" i="4"/>
  <c r="E7" i="4"/>
  <c r="E6" i="4"/>
  <c r="E5" i="4"/>
  <c r="E4" i="4"/>
  <c r="I3" i="4"/>
  <c r="H3" i="4"/>
  <c r="G3" i="4"/>
  <c r="F3" i="4"/>
  <c r="E3" i="4" l="1"/>
</calcChain>
</file>

<file path=xl/sharedStrings.xml><?xml version="1.0" encoding="utf-8"?>
<sst xmlns="http://schemas.openxmlformats.org/spreadsheetml/2006/main" count="669" uniqueCount="314">
  <si>
    <t>Data Q2 KPI Projections</t>
  </si>
  <si>
    <t>Event name</t>
  </si>
  <si>
    <t>Brief</t>
  </si>
  <si>
    <t>UT 15</t>
  </si>
  <si>
    <t>UT 17</t>
  </si>
  <si>
    <t>Total SQLR</t>
  </si>
  <si>
    <t>CQ</t>
  </si>
  <si>
    <t>NQ</t>
  </si>
  <si>
    <t>NQ+1</t>
  </si>
  <si>
    <t>NQ+2</t>
  </si>
  <si>
    <t>FM Lead</t>
  </si>
  <si>
    <t>Data</t>
  </si>
  <si>
    <t>MongoDB Public Sector Summit, April 2 (Based on Evolve NY 2025</t>
  </si>
  <si>
    <t>17FQY3MB</t>
  </si>
  <si>
    <t>Data Platform</t>
  </si>
  <si>
    <t>Data Fabric</t>
  </si>
  <si>
    <t xml:space="preserve">CDO Magazine - Leadership Summit, Apr 16 </t>
  </si>
  <si>
    <t>9DF399MB</t>
  </si>
  <si>
    <t>Christine</t>
  </si>
  <si>
    <t xml:space="preserve">DGIQ West, May 4-8 </t>
  </si>
  <si>
    <t>CG1K0FMB</t>
  </si>
  <si>
    <t>Drew</t>
  </si>
  <si>
    <t>Consero Data, Tech, AI Summit - SF, 6/3</t>
  </si>
  <si>
    <t>T3GN2TMB</t>
  </si>
  <si>
    <t>Mavi</t>
  </si>
  <si>
    <t>TechEx, May 18-19</t>
  </si>
  <si>
    <t>D6OLBUMB</t>
  </si>
  <si>
    <t>Automation Platform</t>
  </si>
  <si>
    <t>Application Development &amp; Integration (15%)</t>
  </si>
  <si>
    <t>Infrastructure Automation (35%)</t>
  </si>
  <si>
    <t>Technology Business management (10%)</t>
  </si>
  <si>
    <t>AI Productivity (10%)</t>
  </si>
  <si>
    <t>Data Fabric (30%)</t>
  </si>
  <si>
    <t>Gian</t>
  </si>
  <si>
    <t>Priscilla</t>
  </si>
  <si>
    <t>Innovation Studio - DC - Agentic AI workshop</t>
  </si>
  <si>
    <t>DXNNFGMB</t>
  </si>
  <si>
    <t>AI Productivity</t>
  </si>
  <si>
    <t>Julia</t>
  </si>
  <si>
    <t>Innovation Studio - Austin - Agentic AI workshop</t>
  </si>
  <si>
    <t>no code found</t>
  </si>
  <si>
    <t>Jeremy? Priscilla? Jamie/Doris?</t>
  </si>
  <si>
    <t>Innovation Studio - NYC - Data for AI Workshop; (Copying Iceberg)</t>
  </si>
  <si>
    <t>YY2IK0MB</t>
  </si>
  <si>
    <t>Angeline</t>
  </si>
  <si>
    <t>Evanta CHRO Present - ATL June 1</t>
  </si>
  <si>
    <t>JY8L20MB</t>
  </si>
  <si>
    <t>Vitor</t>
  </si>
  <si>
    <t>Evanta CDAO Present - Minneapolis - May 20</t>
  </si>
  <si>
    <t>JL8IJNMB</t>
  </si>
  <si>
    <t>Jeremy</t>
  </si>
  <si>
    <t>MCP Dev Summit, Apr 2-3: Mirror Iceberg Summit</t>
  </si>
  <si>
    <t>Q23XQBMB</t>
  </si>
  <si>
    <t>AI Productivity only</t>
  </si>
  <si>
    <t>Kaila</t>
  </si>
  <si>
    <t>AI Week, Apr 13-17</t>
  </si>
  <si>
    <t>6XYOAIMB</t>
  </si>
  <si>
    <t>OPEX Business Transfrmation, Apr 27-29, Dallas, TX</t>
  </si>
  <si>
    <t>C00BLAMB</t>
  </si>
  <si>
    <t>AI Productivity (70%)</t>
  </si>
  <si>
    <t>Data Summit 2026, May 6-7, Boston: Mirror CDAO Fall</t>
  </si>
  <si>
    <t>7Y2KV9MB</t>
  </si>
  <si>
    <t>OPEX Chief AI Officer Exchange Spring, May 12-13, Chicago</t>
  </si>
  <si>
    <t>3D8VD6MB</t>
  </si>
  <si>
    <t>Gartner CFO, May 27-29</t>
  </si>
  <si>
    <t>19M9UWMB</t>
  </si>
  <si>
    <t>AI Productivity (80%)</t>
  </si>
  <si>
    <t>Strategy &amp; Technology</t>
  </si>
  <si>
    <t>Strategy &amp; Transformation (10%)</t>
  </si>
  <si>
    <t>Gartner SRM, June 1-3</t>
  </si>
  <si>
    <t>JYGWKFMB</t>
  </si>
  <si>
    <t>Data Fabric (50%)</t>
  </si>
  <si>
    <t>Security Threat Management (40%)</t>
  </si>
  <si>
    <t>Intelligent Operations</t>
  </si>
  <si>
    <t>Cybersecurity (10%)</t>
  </si>
  <si>
    <t>Snowflake - Data Cloud Summit, 6/1-4: Main event</t>
  </si>
  <si>
    <t>PFZX9KMB</t>
  </si>
  <si>
    <t>Data Fabric (60%)</t>
  </si>
  <si>
    <t>Strategy &amp; Transformation (40%)</t>
  </si>
  <si>
    <t>Surround</t>
  </si>
  <si>
    <t>M7FI8TMB</t>
  </si>
  <si>
    <t>Data Fabric (100%)</t>
  </si>
  <si>
    <t>Evanta CDAO Dalla Present - June 17</t>
  </si>
  <si>
    <t>5FLXP5MB</t>
  </si>
  <si>
    <t>CCW - Las Vegas, 6/22-25: Main event</t>
  </si>
  <si>
    <t>IH0BYXMB</t>
  </si>
  <si>
    <t>AI Productivity (90%)</t>
  </si>
  <si>
    <t>AI &amp; MLOps (10%)</t>
  </si>
  <si>
    <t>CZLZVNMB</t>
  </si>
  <si>
    <t>Quantum Tech World, 6/25-26: Base it off this event: D62DKTMB</t>
  </si>
  <si>
    <t>HXZ11BMB</t>
  </si>
  <si>
    <t>Data Fabric (80%)</t>
  </si>
  <si>
    <t>Quantum</t>
  </si>
  <si>
    <t>Quantum market (20%)</t>
  </si>
  <si>
    <t>Responsible AI Summit: Mirror IAPP AI Governance 6UXEEOMB</t>
  </si>
  <si>
    <t>5IM8U7MB</t>
  </si>
  <si>
    <t>AI &amp; MLOps (80%)</t>
  </si>
  <si>
    <t>Data Fabric (20%)</t>
  </si>
  <si>
    <t>Data Intelligence Summit (Select T led/funded). Using Dataversity as proxy</t>
  </si>
  <si>
    <t>73J94XMB</t>
  </si>
  <si>
    <t>Nicole G</t>
  </si>
  <si>
    <t>Kaila supporting from Named side</t>
  </si>
  <si>
    <t>2Q Horizon flex funds events</t>
  </si>
  <si>
    <t>Grand Rapids IT Symposium, use this event as a proxy - JOAUXKMB - Evanta CIO Summit Present - Indianapolis.  Increase improvement numbers/conversions + 100 contacts</t>
  </si>
  <si>
    <t>PD81EKMB</t>
  </si>
  <si>
    <t>AI Con, using this event as a proxy - 8CXVG6MB - Data Science &amp; AI Extended Edition, estimating 100 contacts</t>
  </si>
  <si>
    <t>KHNZLXMB</t>
  </si>
  <si>
    <t>AI productivity (20%)</t>
  </si>
  <si>
    <t>Cincy AI Week, using Applied AI Conference as a proxy - but increase size to 300 contacts</t>
  </si>
  <si>
    <t>53N8M0MB</t>
  </si>
  <si>
    <t>AI &amp; MLOps (20%)</t>
  </si>
  <si>
    <t>IDG Dinner - Based on Phoenix performance</t>
  </si>
  <si>
    <t>T8VZDVMB</t>
  </si>
  <si>
    <t xml:space="preserve">Automate 2026 </t>
  </si>
  <si>
    <t>PVKD5QMB</t>
  </si>
  <si>
    <t>Application Development &amp; Integration</t>
  </si>
  <si>
    <t>Infrastructure Automation</t>
  </si>
  <si>
    <t>Security Threat Management</t>
  </si>
  <si>
    <t>Technology Business Management</t>
  </si>
  <si>
    <t>AI/ML Ops</t>
  </si>
  <si>
    <t>Application Operations</t>
  </si>
  <si>
    <t>Business Operations</t>
  </si>
  <si>
    <t>Cybersecurity</t>
  </si>
  <si>
    <t>Power HW</t>
  </si>
  <si>
    <t>AIX / IBM i Market</t>
  </si>
  <si>
    <t>Cognitive Infrastructure Market</t>
  </si>
  <si>
    <t>Enterprise Linux Market</t>
  </si>
  <si>
    <t>Power TPS</t>
  </si>
  <si>
    <t>Power TPS Market</t>
  </si>
  <si>
    <t>Public Cloud Platform</t>
  </si>
  <si>
    <t>Public Cloud Contracts</t>
  </si>
  <si>
    <t>Public Cloud IaaS</t>
  </si>
  <si>
    <t>Public Cloud PaaS</t>
  </si>
  <si>
    <t>Public Cloud TEL &amp; Support</t>
  </si>
  <si>
    <t>Quantum Market</t>
  </si>
  <si>
    <t>Business Applications</t>
  </si>
  <si>
    <t>Hybrid Cloud &amp; Data</t>
  </si>
  <si>
    <t>Strategy &amp; Transformation</t>
  </si>
  <si>
    <t>Storage HW</t>
  </si>
  <si>
    <t>Storage Networking Market</t>
  </si>
  <si>
    <t>Storage Operations / Services Market</t>
  </si>
  <si>
    <t>Storage Tape Market</t>
  </si>
  <si>
    <t>Storage for Data Resiliency Market</t>
  </si>
  <si>
    <t>Storage for Data and AI Market</t>
  </si>
  <si>
    <t>Storage for Hybrid Cloud Market</t>
  </si>
  <si>
    <t>Storage for Primary Block Market</t>
  </si>
  <si>
    <t>Traditional Distributed External Storage Market</t>
  </si>
  <si>
    <t>Storage TPS</t>
  </si>
  <si>
    <t>Storage Networking SW Market</t>
  </si>
  <si>
    <t>Storage Operations / Services SW Market</t>
  </si>
  <si>
    <t>Storage Tape SW Market</t>
  </si>
  <si>
    <t>Storage for Data Resiliency SW Market</t>
  </si>
  <si>
    <t>Storage for Data and AI SW Market</t>
  </si>
  <si>
    <t>Storage for Hybrid Cloud SW Market</t>
  </si>
  <si>
    <t>Storage for Primary Block SW Market</t>
  </si>
  <si>
    <t>Traditional Distributed External Storage SW Market</t>
  </si>
  <si>
    <t>Talent Management Solutions</t>
  </si>
  <si>
    <t>Cognitive Talent Management</t>
  </si>
  <si>
    <t>Technology Lifecycle Services</t>
  </si>
  <si>
    <t>IBM Systems Services</t>
  </si>
  <si>
    <t>Multivendor Services</t>
  </si>
  <si>
    <t>Z HW</t>
  </si>
  <si>
    <t>IBM Z and LinuxONE Hardware</t>
  </si>
  <si>
    <t>System Software HW</t>
  </si>
  <si>
    <t>Z TPS</t>
  </si>
  <si>
    <t>Z Application Development</t>
  </si>
  <si>
    <t>Z IT Operations Management</t>
  </si>
  <si>
    <t>zTPS Operations / Services Market</t>
  </si>
  <si>
    <t>Data Q3 KPI Projections</t>
  </si>
  <si>
    <t>Align AI Executive Summit - CHI 2026</t>
  </si>
  <si>
    <t>NKCM07MB</t>
  </si>
  <si>
    <t xml:space="preserve">AI productivity </t>
  </si>
  <si>
    <t>Align AI Executive Summit - CHI 2026 - continued</t>
  </si>
  <si>
    <t>AI ML/Ops</t>
  </si>
  <si>
    <t>Data Architecture Online 2026</t>
  </si>
  <si>
    <t>JC7XTXMB</t>
  </si>
  <si>
    <t>Cybersecurity Summit Washington DC</t>
  </si>
  <si>
    <t>WFFWZOMB</t>
  </si>
  <si>
    <t>Cybersecurity Summit Washington DC - continued</t>
  </si>
  <si>
    <t xml:space="preserve">Security &amp; Threat Management </t>
  </si>
  <si>
    <t>Consero IBM Data Leaders (Sole) July</t>
  </si>
  <si>
    <t>02MJQNMB</t>
  </si>
  <si>
    <t>Ai4 2026</t>
  </si>
  <si>
    <t>2JJJTJMB</t>
  </si>
  <si>
    <t>AI productivity / Bob</t>
  </si>
  <si>
    <t>Ai4 2026 - continued</t>
  </si>
  <si>
    <t>Confluent</t>
  </si>
  <si>
    <t>Align AI Executive Summit - SFO 2026</t>
  </si>
  <si>
    <t>HRHMCPMB</t>
  </si>
  <si>
    <t>Align AI Executive Summit - SFO 2026 - continued</t>
  </si>
  <si>
    <t>HMG Strategy  C-Level Technology Leadership Summit - St Louis</t>
  </si>
  <si>
    <t>8GUUZXMB</t>
  </si>
  <si>
    <t>HMG Strategy  C-Level Technology Leadership Summit - St Louis - Continued</t>
  </si>
  <si>
    <t>Airflow Summit 2026</t>
  </si>
  <si>
    <t>AVIOOIMB</t>
  </si>
  <si>
    <t>The AI Enterprise Conference 2026</t>
  </si>
  <si>
    <t>60180GMB</t>
  </si>
  <si>
    <t>The AI Enterprise Conference 2026 - continued</t>
  </si>
  <si>
    <t xml:space="preserve">Disney Data &amp; Analytics Conference 2026 </t>
  </si>
  <si>
    <t>FIXTWJMB</t>
  </si>
  <si>
    <t>Disney Data &amp; Analytics Conference 2026  - continued</t>
  </si>
  <si>
    <t>Dataversity Data Architecture &amp; Integration Demo Day 2026</t>
  </si>
  <si>
    <t>U2PA8AMB</t>
  </si>
  <si>
    <t>Consero Data Technology &amp; AI Forum -NY</t>
  </si>
  <si>
    <t>81IXKFMB</t>
  </si>
  <si>
    <t xml:space="preserve">Data Management Summit New York </t>
  </si>
  <si>
    <t>RF6012MB</t>
  </si>
  <si>
    <t>OpenSearchCon North America</t>
  </si>
  <si>
    <t>HJ5GRPMB</t>
  </si>
  <si>
    <t>HMG Strategy  C-Level Technology Leadership Summit - Detroit</t>
  </si>
  <si>
    <t>I9KDL6MB</t>
  </si>
  <si>
    <t>HMG Strategy  C-Level Technology Leadership Summit - Detroit - continued</t>
  </si>
  <si>
    <t>The AI Conference 2026</t>
  </si>
  <si>
    <t>9CAE8OMB</t>
  </si>
  <si>
    <t>The AI Conference 2026 - continued</t>
  </si>
  <si>
    <t>CDO Executive Boardroom Dinner - San Jose</t>
  </si>
  <si>
    <t>NGXVTXMB</t>
  </si>
  <si>
    <t xml:space="preserve">Confluent </t>
  </si>
  <si>
    <t>CDO Executive Boardroom Dinner - Cleveland</t>
  </si>
  <si>
    <t>MUO0NCMB</t>
  </si>
  <si>
    <t>CDO Executive Boardroom Dinner - NYC</t>
  </si>
  <si>
    <t>BUJK00MB</t>
  </si>
  <si>
    <t>CDO Executive Boardroom Dinner - Charlotte</t>
  </si>
  <si>
    <t>YGVPAFMB</t>
  </si>
  <si>
    <t xml:space="preserve">CDO Magazine Dallas 2026
</t>
  </si>
  <si>
    <t>N8F57QMB</t>
  </si>
  <si>
    <t>CDO Nashville RT Exchange</t>
  </si>
  <si>
    <t>MXG1JYMB</t>
  </si>
  <si>
    <t>We are Developers</t>
  </si>
  <si>
    <t>Z06ARMMB</t>
  </si>
  <si>
    <t>Bob</t>
  </si>
  <si>
    <t xml:space="preserve">Blend Community Dinner: Demand Accelerator Data - Atlanta </t>
  </si>
  <si>
    <t>1EIG7RMB</t>
  </si>
  <si>
    <t xml:space="preserve"> Data Fabric</t>
  </si>
  <si>
    <t>Kansas City Developer Conference</t>
  </si>
  <si>
    <t>2M8MFLMB</t>
  </si>
  <si>
    <t>Blend Community Dinner: Demand Accelerator Data - Boston</t>
  </si>
  <si>
    <t>XG45AFMB</t>
  </si>
  <si>
    <t xml:space="preserve">Wisconsin IT Symposium </t>
  </si>
  <si>
    <t>QWW2QTMB</t>
  </si>
  <si>
    <t>IBM World Cup Watch Party</t>
  </si>
  <si>
    <t>F0H04EMB</t>
  </si>
  <si>
    <t>Kaila/Sekai</t>
  </si>
  <si>
    <t>Data Q4 KPI Projections</t>
  </si>
  <si>
    <t>CDO Magazine - Leadership Summit, NY 10/20</t>
  </si>
  <si>
    <t xml:space="preserve">UFVR1FMB </t>
  </si>
  <si>
    <t>CDO Magazine - Leadership Summit, Cincinnati 11/19</t>
  </si>
  <si>
    <t>AXUBKVMB</t>
  </si>
  <si>
    <t>Current 2026</t>
  </si>
  <si>
    <t xml:space="preserve">Confluent (70%) </t>
  </si>
  <si>
    <t>Application Development &amp; Integration (30%)</t>
  </si>
  <si>
    <t>All Things Open</t>
  </si>
  <si>
    <t>FH9DH4MB</t>
  </si>
  <si>
    <t>QCon</t>
  </si>
  <si>
    <t>LIH4DBMB</t>
  </si>
  <si>
    <t>ODSC AI West</t>
  </si>
  <si>
    <t>Z4YT65MB</t>
  </si>
  <si>
    <t>KubeCon</t>
  </si>
  <si>
    <t>3147DEMB</t>
  </si>
  <si>
    <t>AI productivity / Bob (30%)</t>
  </si>
  <si>
    <t>Application Development &amp; Integration (70%)</t>
  </si>
  <si>
    <t>AI Summit NYC</t>
  </si>
  <si>
    <t>V6Q54KMB</t>
  </si>
  <si>
    <t>AI productivity / Bob (55%)</t>
  </si>
  <si>
    <t>AI ML/Ops (15%)</t>
  </si>
  <si>
    <t>Data Fabric (15%)</t>
  </si>
  <si>
    <t>Confluent (15%)</t>
  </si>
  <si>
    <t>Collide ATL</t>
  </si>
  <si>
    <t>Z9CLHXMB</t>
  </si>
  <si>
    <t>AI productivity / Bob (60%)</t>
  </si>
  <si>
    <t xml:space="preserve">Collide ATL </t>
  </si>
  <si>
    <t>Confluent (20%)</t>
  </si>
  <si>
    <t>Align AI Executive Summit Dallas</t>
  </si>
  <si>
    <t>9N66JMMB</t>
  </si>
  <si>
    <t>AI productivity / Bob (80%)</t>
  </si>
  <si>
    <t>Aign AI Exec Summit Dallas</t>
  </si>
  <si>
    <t>AI ML/Ops (20%)</t>
  </si>
  <si>
    <t>Consero IBM Data Leaders (Sole) NOV</t>
  </si>
  <si>
    <t>K90TDGMB</t>
  </si>
  <si>
    <t>Data Fabric (70%)</t>
  </si>
  <si>
    <t>Confluent (30%)</t>
  </si>
  <si>
    <t>Evanta CDAO Chicago</t>
  </si>
  <si>
    <t xml:space="preserve">HMG Strategy Charlotte </t>
  </si>
  <si>
    <t>LI89NYMB</t>
  </si>
  <si>
    <t xml:space="preserve">Data Fabric (100%) </t>
  </si>
  <si>
    <t xml:space="preserve">Consero Customer Experience and Contact Center Forum </t>
  </si>
  <si>
    <t>GDS AI</t>
  </si>
  <si>
    <t>IAPP</t>
  </si>
  <si>
    <t>AI Productivity (20%)</t>
  </si>
  <si>
    <t>AI ML/Ops (80%)</t>
  </si>
  <si>
    <t>CX BFSI Exchange East ​</t>
  </si>
  <si>
    <t>799VJQMB</t>
  </si>
  <si>
    <t>Evolve 2026</t>
  </si>
  <si>
    <t>QGG58VMB</t>
  </si>
  <si>
    <t xml:space="preserve">Gartner CDAO </t>
  </si>
  <si>
    <t>Gartner HR Symposium</t>
  </si>
  <si>
    <t>Techxchange - IDUG</t>
  </si>
  <si>
    <t>Techxchange - Horizon Surround</t>
  </si>
  <si>
    <t>Data Fabric 40%</t>
  </si>
  <si>
    <t>Consero Data CXO Summit</t>
  </si>
  <si>
    <t>Data Fabric 80%</t>
  </si>
  <si>
    <t>Confluent 20%</t>
  </si>
  <si>
    <t>Gartner CIO &amp; CISO</t>
  </si>
  <si>
    <t>EPM Summit</t>
  </si>
  <si>
    <t>L5D8C0MB</t>
  </si>
  <si>
    <t>Cybersecurity Summit</t>
  </si>
  <si>
    <t>Gartner CHRO Summit</t>
  </si>
  <si>
    <t>Institute for Leaders in AI Summit</t>
  </si>
  <si>
    <t>AI productivity / Bob (50%)</t>
  </si>
  <si>
    <t>2025 Landing Qtr Average</t>
  </si>
  <si>
    <t xml:space="preserve">NQ </t>
  </si>
  <si>
    <t>Software</t>
  </si>
  <si>
    <t>Infrastructure</t>
  </si>
  <si>
    <t>Consulting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</si>
</sst>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$&quot;#,##0.00_);[Red]\(&quot;$&quot;#,##0.00\)"/>
    <numFmt numFmtId="44" formatCode="_(&quot;$&quot;* #,##0.00_);_(&quot;$&quot;* \(#,##0.00\);_(&quot;$&quot;* &quot;-&quot;??_);_(@_)"/>
    <numFmt numFmtId="164" formatCode="&quot;$&quot;#,##0.00"/>
  </numFmts>
  <fonts count="30">
    <font>
      <sz val="12"/>
      <color theme="1"/>
      <name val="Aptos Narrow"/>
      <family val="2"/>
      <scheme val="minor"/>
    </font>
    <font>
      <sz val="12"/>
      <color theme="1"/>
      <name val="IBM Plex Sans"/>
      <family val="2"/>
    </font>
    <font>
      <sz val="14"/>
      <color theme="1"/>
      <name val="IBM Plex Sans"/>
      <family val="2"/>
    </font>
    <font>
      <u/>
      <sz val="14"/>
      <color theme="1"/>
      <name val="IBM Plex Sans"/>
      <family val="2"/>
    </font>
    <font>
      <b/>
      <sz val="12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10"/>
      <name val="Tahoma"/>
      <family val="2"/>
    </font>
    <font>
      <sz val="10"/>
      <color theme="0"/>
      <name val="Tahoma"/>
      <family val="2"/>
    </font>
    <font>
      <sz val="12"/>
      <color theme="1"/>
      <name val="Aptos"/>
    </font>
    <font>
      <b/>
      <sz val="12"/>
      <color theme="1"/>
      <name val="Aptos Narrow"/>
      <scheme val="minor"/>
    </font>
    <font>
      <b/>
      <sz val="12"/>
      <color rgb="FFFF0000"/>
      <name val="Aptos Narrow"/>
      <scheme val="minor"/>
    </font>
    <font>
      <b/>
      <sz val="12"/>
      <color rgb="FF000000"/>
      <name val="Aptos Narrow"/>
      <scheme val="minor"/>
    </font>
    <font>
      <sz val="12"/>
      <color rgb="FF000000"/>
      <name val="Calibri"/>
      <family val="2"/>
    </font>
    <font>
      <sz val="12"/>
      <color rgb="FF000000"/>
      <name val="Aptos Narrow"/>
      <scheme val="minor"/>
    </font>
    <font>
      <sz val="12"/>
      <color rgb="FF000000"/>
      <name val="Aptos Narrow"/>
      <family val="2"/>
      <scheme val="minor"/>
    </font>
    <font>
      <sz val="12"/>
      <color theme="7"/>
      <name val="Aptos"/>
    </font>
    <font>
      <sz val="12"/>
      <color theme="7"/>
      <name val="Aptos Narrow"/>
      <scheme val="minor"/>
    </font>
    <font>
      <sz val="12"/>
      <color theme="7"/>
      <name val="Aptos Narrow"/>
      <family val="2"/>
      <scheme val="minor"/>
    </font>
    <font>
      <sz val="12"/>
      <color theme="7"/>
      <name val="Aptos Narrow (Body)"/>
    </font>
    <font>
      <sz val="12"/>
      <color rgb="FF00B0F0"/>
      <name val="Aptos Narrow"/>
      <family val="2"/>
      <scheme val="minor"/>
    </font>
    <font>
      <sz val="12"/>
      <color rgb="FF00B0F0"/>
      <name val="Aptos Narrow"/>
      <scheme val="minor"/>
    </font>
    <font>
      <sz val="12"/>
      <color theme="1"/>
      <name val="Aptos Narrow"/>
      <scheme val="minor"/>
    </font>
    <font>
      <vertAlign val="subscript"/>
      <sz val="15"/>
      <color rgb="FF1D1C1D"/>
      <name val="Arial"/>
      <family val="2"/>
    </font>
    <font>
      <sz val="12"/>
      <color rgb="FF0F9ED5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7"/>
      <name val="Aptos Narrow"/>
      <scheme val="minor"/>
    </font>
    <font>
      <b/>
      <sz val="12"/>
      <color rgb="FF1D1C1D"/>
      <name val="Aptos Narrow"/>
      <family val="2"/>
      <scheme val="minor"/>
    </font>
    <font>
      <sz val="12"/>
      <color rgb="FF000000"/>
      <name val="Aptos Narrow"/>
      <family val="2"/>
    </font>
    <font>
      <sz val="12"/>
      <color rgb="FF000000"/>
      <name val="Aptos Narrow"/>
    </font>
    <font>
      <sz val="12"/>
      <color rgb="FF0F9ED5"/>
      <name val="Aptos Narrow"/>
    </font>
  </fonts>
  <fills count="8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92D050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44" fontId="24" fillId="0" borderId="0" applyFont="0" applyFill="0" applyBorder="0" applyAlignment="0" applyProtection="0"/>
  </cellStyleXfs>
  <cellXfs count="96">
    <xf numFmtId="0" fontId="0" fillId="0" borderId="0" xfId="0"/>
    <xf numFmtId="0" fontId="3" fillId="2" borderId="0" xfId="0" applyFont="1" applyFill="1" applyAlignment="1">
      <alignment horizontal="center"/>
    </xf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vertical="center"/>
    </xf>
    <xf numFmtId="0" fontId="1" fillId="0" borderId="0" xfId="0" applyFont="1" applyAlignment="1">
      <alignment horizontal="left" vertical="center"/>
    </xf>
    <xf numFmtId="0" fontId="0" fillId="0" borderId="2" xfId="0" applyBorder="1"/>
    <xf numFmtId="0" fontId="5" fillId="3" borderId="2" xfId="0" applyFont="1" applyFill="1" applyBorder="1"/>
    <xf numFmtId="0" fontId="4" fillId="0" borderId="2" xfId="0" applyFont="1" applyBorder="1"/>
    <xf numFmtId="0" fontId="6" fillId="0" borderId="0" xfId="0" applyFont="1" applyAlignment="1">
      <alignment vertical="center"/>
    </xf>
    <xf numFmtId="0" fontId="0" fillId="5" borderId="0" xfId="0" applyFill="1" applyAlignment="1">
      <alignment vertical="center"/>
    </xf>
    <xf numFmtId="0" fontId="7" fillId="4" borderId="3" xfId="0" applyFont="1" applyFill="1" applyBorder="1" applyAlignment="1">
      <alignment horizontal="right" vertical="center"/>
    </xf>
    <xf numFmtId="0" fontId="0" fillId="5" borderId="0" xfId="0" applyFill="1" applyAlignment="1">
      <alignment horizontal="right"/>
    </xf>
    <xf numFmtId="9" fontId="0" fillId="5" borderId="0" xfId="0" applyNumberFormat="1" applyFill="1"/>
    <xf numFmtId="3" fontId="8" fillId="0" borderId="0" xfId="0" applyNumberFormat="1" applyFont="1"/>
    <xf numFmtId="3" fontId="0" fillId="0" borderId="2" xfId="0" applyNumberFormat="1" applyBorder="1"/>
    <xf numFmtId="0" fontId="9" fillId="0" borderId="0" xfId="0" applyFont="1"/>
    <xf numFmtId="0" fontId="9" fillId="6" borderId="0" xfId="0" applyFont="1" applyFill="1"/>
    <xf numFmtId="0" fontId="0" fillId="6" borderId="2" xfId="0" applyFill="1" applyBorder="1"/>
    <xf numFmtId="0" fontId="10" fillId="0" borderId="2" xfId="0" applyFont="1" applyBorder="1"/>
    <xf numFmtId="0" fontId="9" fillId="0" borderId="2" xfId="0" applyFont="1" applyBorder="1"/>
    <xf numFmtId="0" fontId="8" fillId="7" borderId="0" xfId="0" applyFont="1" applyFill="1"/>
    <xf numFmtId="0" fontId="0" fillId="7" borderId="2" xfId="0" applyFill="1" applyBorder="1"/>
    <xf numFmtId="0" fontId="11" fillId="0" borderId="2" xfId="0" applyFont="1" applyBorder="1"/>
    <xf numFmtId="0" fontId="12" fillId="0" borderId="0" xfId="0" applyFont="1"/>
    <xf numFmtId="0" fontId="5" fillId="3" borderId="4" xfId="0" applyFont="1" applyFill="1" applyBorder="1"/>
    <xf numFmtId="0" fontId="0" fillId="0" borderId="4" xfId="0" applyBorder="1"/>
    <xf numFmtId="0" fontId="4" fillId="0" borderId="4" xfId="0" applyFont="1" applyBorder="1"/>
    <xf numFmtId="0" fontId="9" fillId="0" borderId="4" xfId="0" applyFont="1" applyBorder="1"/>
    <xf numFmtId="3" fontId="8" fillId="0" borderId="4" xfId="0" applyNumberFormat="1" applyFont="1" applyBorder="1"/>
    <xf numFmtId="3" fontId="0" fillId="0" borderId="4" xfId="0" applyNumberFormat="1" applyBorder="1"/>
    <xf numFmtId="0" fontId="11" fillId="0" borderId="4" xfId="0" applyFont="1" applyBorder="1"/>
    <xf numFmtId="0" fontId="12" fillId="0" borderId="4" xfId="0" applyFont="1" applyBorder="1"/>
    <xf numFmtId="0" fontId="13" fillId="0" borderId="4" xfId="0" applyFont="1" applyBorder="1"/>
    <xf numFmtId="0" fontId="14" fillId="0" borderId="4" xfId="0" applyFont="1" applyBorder="1"/>
    <xf numFmtId="0" fontId="16" fillId="0" borderId="4" xfId="0" applyFont="1" applyBorder="1"/>
    <xf numFmtId="0" fontId="17" fillId="0" borderId="4" xfId="0" applyFont="1" applyBorder="1"/>
    <xf numFmtId="3" fontId="17" fillId="0" borderId="4" xfId="0" applyNumberFormat="1" applyFont="1" applyBorder="1"/>
    <xf numFmtId="3" fontId="16" fillId="0" borderId="4" xfId="0" applyNumberFormat="1" applyFont="1" applyBorder="1"/>
    <xf numFmtId="0" fontId="18" fillId="0" borderId="4" xfId="0" applyFont="1" applyBorder="1"/>
    <xf numFmtId="0" fontId="19" fillId="0" borderId="4" xfId="0" applyFont="1" applyBorder="1"/>
    <xf numFmtId="3" fontId="19" fillId="0" borderId="4" xfId="0" applyNumberFormat="1" applyFont="1" applyBorder="1"/>
    <xf numFmtId="0" fontId="20" fillId="0" borderId="4" xfId="0" applyFont="1" applyBorder="1"/>
    <xf numFmtId="3" fontId="20" fillId="0" borderId="4" xfId="0" applyNumberFormat="1" applyFont="1" applyBorder="1"/>
    <xf numFmtId="0" fontId="21" fillId="0" borderId="4" xfId="0" applyFont="1" applyBorder="1"/>
    <xf numFmtId="0" fontId="8" fillId="7" borderId="4" xfId="0" applyFont="1" applyFill="1" applyBorder="1"/>
    <xf numFmtId="0" fontId="15" fillId="7" borderId="4" xfId="0" applyFont="1" applyFill="1" applyBorder="1"/>
    <xf numFmtId="0" fontId="0" fillId="7" borderId="4" xfId="0" applyFill="1" applyBorder="1"/>
    <xf numFmtId="0" fontId="16" fillId="7" borderId="4" xfId="0" applyFont="1" applyFill="1" applyBorder="1"/>
    <xf numFmtId="0" fontId="17" fillId="7" borderId="4" xfId="0" applyFont="1" applyFill="1" applyBorder="1"/>
    <xf numFmtId="0" fontId="19" fillId="7" borderId="4" xfId="0" applyFont="1" applyFill="1" applyBorder="1"/>
    <xf numFmtId="0" fontId="20" fillId="7" borderId="4" xfId="0" applyFont="1" applyFill="1" applyBorder="1"/>
    <xf numFmtId="0" fontId="0" fillId="7" borderId="4" xfId="0" applyFill="1" applyBorder="1" applyAlignment="1">
      <alignment wrapText="1"/>
    </xf>
    <xf numFmtId="0" fontId="17" fillId="0" borderId="0" xfId="0" applyFont="1"/>
    <xf numFmtId="0" fontId="17" fillId="0" borderId="2" xfId="0" applyFont="1" applyBorder="1"/>
    <xf numFmtId="0" fontId="22" fillId="7" borderId="0" xfId="0" applyFont="1" applyFill="1"/>
    <xf numFmtId="0" fontId="0" fillId="7" borderId="0" xfId="0" applyFill="1"/>
    <xf numFmtId="0" fontId="17" fillId="7" borderId="0" xfId="0" applyFont="1" applyFill="1"/>
    <xf numFmtId="44" fontId="0" fillId="0" borderId="0" xfId="1" applyFont="1"/>
    <xf numFmtId="44" fontId="17" fillId="0" borderId="0" xfId="1" applyFont="1"/>
    <xf numFmtId="44" fontId="16" fillId="0" borderId="0" xfId="1" applyFont="1"/>
    <xf numFmtId="0" fontId="16" fillId="0" borderId="2" xfId="0" applyFont="1" applyBorder="1"/>
    <xf numFmtId="0" fontId="25" fillId="0" borderId="2" xfId="0" applyFont="1" applyBorder="1"/>
    <xf numFmtId="0" fontId="21" fillId="0" borderId="2" xfId="0" applyFont="1" applyBorder="1"/>
    <xf numFmtId="44" fontId="21" fillId="0" borderId="0" xfId="1" applyFont="1"/>
    <xf numFmtId="44" fontId="0" fillId="0" borderId="4" xfId="1" applyFont="1" applyBorder="1"/>
    <xf numFmtId="44" fontId="0" fillId="0" borderId="4" xfId="0" applyNumberFormat="1" applyBorder="1"/>
    <xf numFmtId="3" fontId="4" fillId="0" borderId="0" xfId="0" applyNumberFormat="1" applyFont="1"/>
    <xf numFmtId="3" fontId="26" fillId="0" borderId="0" xfId="0" applyNumberFormat="1" applyFont="1"/>
    <xf numFmtId="0" fontId="25" fillId="0" borderId="4" xfId="0" applyFont="1" applyBorder="1"/>
    <xf numFmtId="3" fontId="25" fillId="0" borderId="0" xfId="0" applyNumberFormat="1" applyFont="1"/>
    <xf numFmtId="0" fontId="16" fillId="7" borderId="0" xfId="0" applyFont="1" applyFill="1"/>
    <xf numFmtId="0" fontId="23" fillId="7" borderId="0" xfId="0" applyFont="1" applyFill="1"/>
    <xf numFmtId="0" fontId="27" fillId="0" borderId="0" xfId="0" applyFont="1" applyFill="1" applyBorder="1" applyAlignment="1"/>
    <xf numFmtId="0" fontId="27" fillId="0" borderId="0" xfId="0" applyFont="1" applyFill="1" applyAlignment="1"/>
    <xf numFmtId="0" fontId="28" fillId="0" borderId="0" xfId="0" applyFont="1" applyFill="1" applyBorder="1" applyAlignment="1"/>
    <xf numFmtId="8" fontId="28" fillId="0" borderId="0" xfId="0" applyNumberFormat="1" applyFont="1" applyFill="1" applyBorder="1" applyAlignment="1"/>
    <xf numFmtId="8" fontId="27" fillId="0" borderId="0" xfId="0" applyNumberFormat="1" applyFont="1" applyFill="1" applyBorder="1" applyAlignment="1"/>
    <xf numFmtId="0" fontId="29" fillId="0" borderId="0" xfId="0" applyFont="1" applyFill="1" applyBorder="1" applyAlignment="1"/>
    <xf numFmtId="8" fontId="29" fillId="0" borderId="0" xfId="0" applyNumberFormat="1" applyFont="1" applyFill="1" applyBorder="1" applyAlignment="1"/>
    <xf numFmtId="8" fontId="27" fillId="0" borderId="2" xfId="0" applyNumberFormat="1" applyFont="1" applyFill="1" applyBorder="1" applyAlignment="1"/>
    <xf numFmtId="8" fontId="27" fillId="0" borderId="5" xfId="0" applyNumberFormat="1" applyFont="1" applyFill="1" applyBorder="1" applyAlignment="1"/>
    <xf numFmtId="0" fontId="2" fillId="0" borderId="1" xfId="0" applyFont="1" applyBorder="1" applyAlignment="1">
      <alignment horizontal="left" vertical="center"/>
    </xf>
    <xf numFmtId="8" fontId="27" fillId="0" borderId="4" xfId="0" applyNumberFormat="1" applyFont="1" applyFill="1" applyBorder="1" applyAlignment="1"/>
    <xf numFmtId="8" fontId="27" fillId="0" borderId="6" xfId="0" applyNumberFormat="1" applyFont="1" applyFill="1" applyBorder="1" applyAlignment="1"/>
    <xf numFmtId="164" fontId="27" fillId="0" borderId="4" xfId="0" applyNumberFormat="1" applyFont="1" applyFill="1" applyBorder="1" applyAlignment="1"/>
    <xf numFmtId="164" fontId="0" fillId="0" borderId="4" xfId="0" applyNumberFormat="1" applyBorder="1"/>
    <xf numFmtId="164" fontId="8" fillId="0" borderId="4" xfId="0" applyNumberFormat="1" applyFont="1" applyBorder="1"/>
    <xf numFmtId="164" fontId="0" fillId="0" borderId="2" xfId="0" applyNumberFormat="1" applyBorder="1"/>
    <xf numFmtId="164" fontId="17" fillId="0" borderId="2" xfId="0" applyNumberFormat="1" applyFont="1" applyBorder="1"/>
    <xf numFmtId="164" fontId="0" fillId="0" borderId="0" xfId="0" applyNumberFormat="1"/>
    <xf numFmtId="164" fontId="17" fillId="0" borderId="0" xfId="0" applyNumberFormat="1" applyFont="1"/>
    <xf numFmtId="0" fontId="2" fillId="0" borderId="0" xfId="0" applyFont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7" fillId="4" borderId="0" xfId="0" applyFont="1" applyFill="1" applyAlignment="1">
      <alignment horizontal="center" vertical="center"/>
    </xf>
    <xf numFmtId="0" fontId="28" fillId="7" borderId="0" xfId="0" applyFont="1" applyFill="1" applyBorder="1" applyAlignment="1"/>
    <xf numFmtId="0" fontId="27" fillId="7" borderId="0" xfId="0" applyFont="1" applyFill="1" applyBorder="1" applyAlignmen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519637-199A-4342-94B6-656FD616A422}">
  <sheetPr>
    <tabColor rgb="FFFFC000"/>
  </sheetPr>
  <dimension ref="A1:K51"/>
  <sheetViews>
    <sheetView workbookViewId="0">
      <selection activeCell="E7" sqref="E7:E11"/>
    </sheetView>
  </sheetViews>
  <sheetFormatPr defaultColWidth="8.875" defaultRowHeight="15.95"/>
  <cols>
    <col min="1" max="1" width="58.5" style="5" customWidth="1"/>
    <col min="2" max="2" width="19.375" style="5" customWidth="1"/>
    <col min="3" max="5" width="24.5" style="5" customWidth="1"/>
    <col min="6" max="9" width="18.125" style="5" customWidth="1"/>
    <col min="10" max="16384" width="8.875" style="5"/>
  </cols>
  <sheetData>
    <row r="1" spans="1:11" s="6" customFormat="1" ht="21.95">
      <c r="A1" s="6" t="s">
        <v>0</v>
      </c>
    </row>
    <row r="2" spans="1:11" s="7" customFormat="1">
      <c r="A2" s="7" t="s">
        <v>1</v>
      </c>
      <c r="B2" s="7" t="s">
        <v>2</v>
      </c>
      <c r="C2" s="7" t="s">
        <v>3</v>
      </c>
      <c r="D2" s="7" t="s">
        <v>4</v>
      </c>
      <c r="E2" s="7" t="s">
        <v>5</v>
      </c>
      <c r="F2" s="7" t="s">
        <v>6</v>
      </c>
      <c r="G2" s="7" t="s">
        <v>7</v>
      </c>
      <c r="H2" s="7" t="s">
        <v>8</v>
      </c>
      <c r="I2" s="7" t="s">
        <v>9</v>
      </c>
      <c r="J2" s="7" t="s">
        <v>10</v>
      </c>
      <c r="K2" s="7" t="s">
        <v>11</v>
      </c>
    </row>
    <row r="3" spans="1:11">
      <c r="A3" s="20" t="s">
        <v>12</v>
      </c>
      <c r="B3" s="15" t="s">
        <v>13</v>
      </c>
      <c r="C3" s="5" t="s">
        <v>14</v>
      </c>
      <c r="D3" s="5" t="s">
        <v>15</v>
      </c>
      <c r="E3"/>
      <c r="F3" s="13">
        <v>286033</v>
      </c>
      <c r="G3" s="13">
        <v>386986</v>
      </c>
      <c r="H3" s="13">
        <v>420637</v>
      </c>
      <c r="I3" s="13">
        <v>588891</v>
      </c>
    </row>
    <row r="4" spans="1:11">
      <c r="A4" s="20" t="s">
        <v>16</v>
      </c>
      <c r="B4" s="15" t="s">
        <v>17</v>
      </c>
      <c r="C4" s="5" t="s">
        <v>14</v>
      </c>
      <c r="D4" s="5" t="s">
        <v>15</v>
      </c>
      <c r="E4" s="14">
        <v>313000</v>
      </c>
      <c r="F4" s="14">
        <v>53054</v>
      </c>
      <c r="G4" s="14">
        <v>71779</v>
      </c>
      <c r="H4" s="14">
        <v>79020</v>
      </c>
      <c r="I4" s="14">
        <v>109229</v>
      </c>
      <c r="J4" s="5" t="s">
        <v>18</v>
      </c>
    </row>
    <row r="5" spans="1:11">
      <c r="A5" s="21" t="s">
        <v>19</v>
      </c>
      <c r="B5" s="15" t="s">
        <v>20</v>
      </c>
      <c r="C5" s="5" t="s">
        <v>14</v>
      </c>
      <c r="D5" s="5" t="s">
        <v>15</v>
      </c>
      <c r="F5" s="14">
        <v>372763</v>
      </c>
      <c r="G5" s="14">
        <v>504327</v>
      </c>
      <c r="H5" s="14">
        <v>548181</v>
      </c>
      <c r="I5" s="14">
        <v>767454</v>
      </c>
      <c r="J5" s="5" t="s">
        <v>21</v>
      </c>
    </row>
    <row r="6" spans="1:11">
      <c r="A6" s="21" t="s">
        <v>22</v>
      </c>
      <c r="B6" s="15" t="s">
        <v>23</v>
      </c>
      <c r="C6" s="5" t="s">
        <v>14</v>
      </c>
      <c r="D6" s="5" t="s">
        <v>15</v>
      </c>
      <c r="E6" s="14">
        <f>SUM(F6:I6)</f>
        <v>1503617</v>
      </c>
      <c r="F6" s="14">
        <v>255615</v>
      </c>
      <c r="G6" s="14">
        <v>345832</v>
      </c>
      <c r="H6" s="14">
        <v>375904</v>
      </c>
      <c r="I6" s="14">
        <v>526266</v>
      </c>
      <c r="J6" s="5" t="s">
        <v>24</v>
      </c>
    </row>
    <row r="7" spans="1:11">
      <c r="A7" s="21" t="s">
        <v>25</v>
      </c>
      <c r="B7" s="16" t="s">
        <v>26</v>
      </c>
      <c r="C7" s="5" t="s">
        <v>27</v>
      </c>
      <c r="D7" s="5" t="s">
        <v>28</v>
      </c>
      <c r="E7" s="14">
        <f>SUM(F7:I7)</f>
        <v>1260525</v>
      </c>
      <c r="F7" s="14">
        <v>214289</v>
      </c>
      <c r="G7" s="14">
        <v>289921</v>
      </c>
      <c r="H7" s="14">
        <v>315131</v>
      </c>
      <c r="I7" s="14">
        <v>441184</v>
      </c>
    </row>
    <row r="8" spans="1:11">
      <c r="B8" s="17"/>
      <c r="C8" s="5" t="s">
        <v>27</v>
      </c>
      <c r="D8" s="5" t="s">
        <v>29</v>
      </c>
      <c r="E8" s="14">
        <f t="shared" ref="E8:E11" si="0">SUM(F8:I8)</f>
        <v>2941223</v>
      </c>
      <c r="F8" s="14">
        <v>500008</v>
      </c>
      <c r="G8" s="14">
        <v>676481</v>
      </c>
      <c r="H8" s="14">
        <v>735306</v>
      </c>
      <c r="I8" s="14">
        <v>1029428</v>
      </c>
    </row>
    <row r="9" spans="1:11">
      <c r="B9" s="17"/>
      <c r="C9" s="5" t="s">
        <v>27</v>
      </c>
      <c r="D9" s="5" t="s">
        <v>30</v>
      </c>
      <c r="E9" s="14">
        <f t="shared" si="0"/>
        <v>840347</v>
      </c>
      <c r="F9" s="14">
        <v>142858</v>
      </c>
      <c r="G9" s="14">
        <v>193280</v>
      </c>
      <c r="H9" s="14">
        <v>210087</v>
      </c>
      <c r="I9" s="14">
        <v>294122</v>
      </c>
    </row>
    <row r="10" spans="1:11">
      <c r="B10" s="17"/>
      <c r="C10" s="5" t="s">
        <v>14</v>
      </c>
      <c r="D10" s="5" t="s">
        <v>31</v>
      </c>
      <c r="E10" s="14">
        <f t="shared" si="0"/>
        <v>840347</v>
      </c>
      <c r="F10" s="14">
        <v>142858</v>
      </c>
      <c r="G10" s="14">
        <v>193280</v>
      </c>
      <c r="H10" s="14">
        <v>210087</v>
      </c>
      <c r="I10" s="14">
        <v>294122</v>
      </c>
    </row>
    <row r="11" spans="1:11">
      <c r="B11" s="17"/>
      <c r="C11" s="5" t="s">
        <v>14</v>
      </c>
      <c r="D11" s="5" t="s">
        <v>32</v>
      </c>
      <c r="E11" s="14">
        <f t="shared" si="0"/>
        <v>2521048</v>
      </c>
      <c r="F11" s="14">
        <v>428578</v>
      </c>
      <c r="G11" s="14">
        <v>579841</v>
      </c>
      <c r="H11" s="14">
        <v>630262</v>
      </c>
      <c r="I11" s="14">
        <v>882367</v>
      </c>
      <c r="J11" s="5" t="s">
        <v>33</v>
      </c>
      <c r="K11" s="5" t="s">
        <v>34</v>
      </c>
    </row>
    <row r="12" spans="1:11">
      <c r="A12" s="5" t="s">
        <v>35</v>
      </c>
      <c r="B12" s="15" t="s">
        <v>36</v>
      </c>
      <c r="C12" s="5" t="s">
        <v>14</v>
      </c>
      <c r="D12" s="5" t="s">
        <v>37</v>
      </c>
      <c r="F12" s="14">
        <v>44598</v>
      </c>
      <c r="G12" s="14">
        <v>60339</v>
      </c>
      <c r="H12" s="14">
        <v>65586</v>
      </c>
      <c r="I12" s="14">
        <v>91820</v>
      </c>
      <c r="J12" s="5" t="s">
        <v>38</v>
      </c>
    </row>
    <row r="13" spans="1:11">
      <c r="A13" s="5" t="s">
        <v>39</v>
      </c>
      <c r="B13" s="18" t="s">
        <v>40</v>
      </c>
      <c r="C13" s="5" t="s">
        <v>14</v>
      </c>
      <c r="D13" s="5" t="s">
        <v>37</v>
      </c>
      <c r="F13" s="14">
        <v>44598</v>
      </c>
      <c r="G13" s="14">
        <v>60339</v>
      </c>
      <c r="H13" s="14">
        <v>65586</v>
      </c>
      <c r="I13" s="14">
        <v>91820</v>
      </c>
      <c r="J13" s="5" t="s">
        <v>41</v>
      </c>
    </row>
    <row r="14" spans="1:11">
      <c r="A14" s="21" t="s">
        <v>42</v>
      </c>
      <c r="B14" s="15" t="s">
        <v>43</v>
      </c>
      <c r="C14" s="5" t="s">
        <v>14</v>
      </c>
      <c r="D14" s="5" t="s">
        <v>15</v>
      </c>
      <c r="F14" s="14">
        <v>115287</v>
      </c>
      <c r="G14" s="14">
        <v>155976</v>
      </c>
      <c r="H14" s="14">
        <v>169539</v>
      </c>
      <c r="I14" s="14">
        <v>327355</v>
      </c>
      <c r="J14" s="5" t="s">
        <v>44</v>
      </c>
    </row>
    <row r="15" spans="1:11">
      <c r="A15" s="21" t="s">
        <v>45</v>
      </c>
      <c r="B15" s="15" t="s">
        <v>46</v>
      </c>
      <c r="C15" s="5" t="s">
        <v>14</v>
      </c>
      <c r="D15" s="5" t="s">
        <v>37</v>
      </c>
      <c r="F15" s="14">
        <v>104132</v>
      </c>
      <c r="G15" s="14">
        <v>140884</v>
      </c>
      <c r="H15" s="14">
        <v>153135</v>
      </c>
      <c r="I15" s="14">
        <v>214389</v>
      </c>
      <c r="J15" s="5" t="s">
        <v>47</v>
      </c>
    </row>
    <row r="16" spans="1:11">
      <c r="A16" s="21" t="s">
        <v>48</v>
      </c>
      <c r="B16" s="15" t="s">
        <v>49</v>
      </c>
      <c r="C16" s="5" t="s">
        <v>14</v>
      </c>
      <c r="D16" s="5" t="s">
        <v>15</v>
      </c>
      <c r="F16" s="14">
        <v>121638</v>
      </c>
      <c r="G16" s="14">
        <v>164569</v>
      </c>
      <c r="H16" s="14">
        <v>178880</v>
      </c>
      <c r="I16" s="14">
        <v>250431</v>
      </c>
      <c r="J16" s="5" t="s">
        <v>50</v>
      </c>
    </row>
    <row r="17" spans="1:10">
      <c r="A17" s="21" t="s">
        <v>51</v>
      </c>
      <c r="B17" s="15" t="s">
        <v>52</v>
      </c>
      <c r="C17" s="5" t="s">
        <v>14</v>
      </c>
      <c r="D17" s="5" t="s">
        <v>53</v>
      </c>
      <c r="F17" s="14">
        <v>256262</v>
      </c>
      <c r="G17" s="14">
        <v>346708</v>
      </c>
      <c r="H17" s="14">
        <v>376856</v>
      </c>
      <c r="I17" s="14">
        <v>527599</v>
      </c>
      <c r="J17" s="5" t="s">
        <v>54</v>
      </c>
    </row>
    <row r="18" spans="1:10">
      <c r="A18" s="21" t="s">
        <v>55</v>
      </c>
      <c r="B18" s="15" t="s">
        <v>56</v>
      </c>
      <c r="C18" s="5" t="s">
        <v>14</v>
      </c>
      <c r="D18" s="5" t="s">
        <v>37</v>
      </c>
      <c r="F18" s="14">
        <v>227388</v>
      </c>
      <c r="G18" s="14">
        <v>307643</v>
      </c>
      <c r="H18" s="14">
        <v>334394</v>
      </c>
      <c r="I18" s="14">
        <v>486152</v>
      </c>
      <c r="J18" s="5" t="s">
        <v>38</v>
      </c>
    </row>
    <row r="19" spans="1:10">
      <c r="A19" s="21" t="s">
        <v>57</v>
      </c>
      <c r="B19" s="15" t="s">
        <v>58</v>
      </c>
      <c r="C19" s="5" t="s">
        <v>14</v>
      </c>
      <c r="D19" s="5" t="s">
        <v>59</v>
      </c>
      <c r="F19" s="14">
        <v>237923</v>
      </c>
      <c r="G19" s="14">
        <v>321896</v>
      </c>
      <c r="H19" s="14">
        <v>349887</v>
      </c>
      <c r="I19" s="14">
        <v>489842</v>
      </c>
      <c r="J19" s="5" t="s">
        <v>50</v>
      </c>
    </row>
    <row r="20" spans="1:10">
      <c r="C20" s="5" t="s">
        <v>14</v>
      </c>
      <c r="D20" s="5" t="s">
        <v>32</v>
      </c>
      <c r="F20" s="14">
        <v>101967</v>
      </c>
      <c r="G20" s="14">
        <v>137955</v>
      </c>
      <c r="H20" s="14">
        <v>149952</v>
      </c>
      <c r="I20" s="14">
        <v>209932</v>
      </c>
      <c r="J20" s="5" t="s">
        <v>50</v>
      </c>
    </row>
    <row r="21" spans="1:10">
      <c r="A21" s="21" t="s">
        <v>60</v>
      </c>
      <c r="B21" s="19" t="s">
        <v>61</v>
      </c>
      <c r="C21" s="5" t="s">
        <v>14</v>
      </c>
      <c r="D21" s="5" t="s">
        <v>15</v>
      </c>
      <c r="F21" s="14">
        <v>122909</v>
      </c>
      <c r="G21" s="14">
        <v>166288</v>
      </c>
      <c r="H21" s="14">
        <v>180748</v>
      </c>
      <c r="I21" s="14">
        <v>253047</v>
      </c>
      <c r="J21" s="5" t="s">
        <v>44</v>
      </c>
    </row>
    <row r="22" spans="1:10">
      <c r="A22" s="21" t="s">
        <v>62</v>
      </c>
      <c r="B22" s="15" t="s">
        <v>63</v>
      </c>
      <c r="C22" s="5" t="s">
        <v>14</v>
      </c>
      <c r="D22" s="5" t="s">
        <v>37</v>
      </c>
      <c r="F22" s="14">
        <v>339890</v>
      </c>
      <c r="G22" s="14">
        <v>459839</v>
      </c>
      <c r="H22" s="14">
        <v>499839</v>
      </c>
      <c r="I22" s="14">
        <v>699774</v>
      </c>
      <c r="J22" s="5" t="s">
        <v>18</v>
      </c>
    </row>
    <row r="23" spans="1:10">
      <c r="A23" s="21" t="s">
        <v>64</v>
      </c>
      <c r="B23" s="15" t="s">
        <v>65</v>
      </c>
      <c r="C23" s="5" t="s">
        <v>14</v>
      </c>
      <c r="D23" s="5" t="s">
        <v>66</v>
      </c>
      <c r="F23" s="14">
        <v>797625</v>
      </c>
      <c r="G23" s="14">
        <v>1079139</v>
      </c>
      <c r="H23" s="14">
        <v>1172978</v>
      </c>
      <c r="I23" s="14">
        <v>1642169</v>
      </c>
      <c r="J23" s="5" t="s">
        <v>47</v>
      </c>
    </row>
    <row r="24" spans="1:10">
      <c r="C24" s="5" t="s">
        <v>67</v>
      </c>
      <c r="D24" s="5" t="s">
        <v>68</v>
      </c>
      <c r="F24" s="14">
        <v>99703</v>
      </c>
      <c r="G24" s="14">
        <v>134892</v>
      </c>
      <c r="H24" s="14">
        <v>146622</v>
      </c>
      <c r="I24" s="14">
        <v>205271</v>
      </c>
      <c r="J24" s="5" t="s">
        <v>47</v>
      </c>
    </row>
    <row r="25" spans="1:10">
      <c r="C25" s="5" t="s">
        <v>27</v>
      </c>
      <c r="D25" s="5" t="s">
        <v>30</v>
      </c>
      <c r="F25" s="14">
        <v>99703</v>
      </c>
      <c r="G25" s="14">
        <v>134892</v>
      </c>
      <c r="H25" s="14">
        <v>146622</v>
      </c>
      <c r="I25" s="14">
        <v>205271</v>
      </c>
      <c r="J25" s="5" t="s">
        <v>47</v>
      </c>
    </row>
    <row r="26" spans="1:10">
      <c r="A26" s="21" t="s">
        <v>69</v>
      </c>
      <c r="B26" s="15" t="s">
        <v>70</v>
      </c>
      <c r="C26" s="5" t="s">
        <v>14</v>
      </c>
      <c r="D26" s="5" t="s">
        <v>71</v>
      </c>
      <c r="F26" s="14">
        <v>991113</v>
      </c>
      <c r="G26" s="14">
        <v>1340918</v>
      </c>
      <c r="H26" s="14">
        <v>1457520</v>
      </c>
      <c r="I26" s="14">
        <v>2040528</v>
      </c>
      <c r="J26" s="5" t="s">
        <v>50</v>
      </c>
    </row>
    <row r="27" spans="1:10">
      <c r="C27" s="5" t="s">
        <v>27</v>
      </c>
      <c r="D27" s="5" t="s">
        <v>72</v>
      </c>
      <c r="F27" s="14">
        <v>792891</v>
      </c>
      <c r="G27" s="14">
        <v>1072734</v>
      </c>
      <c r="H27" s="14">
        <v>1166016</v>
      </c>
      <c r="I27" s="14">
        <v>1632422</v>
      </c>
      <c r="J27" s="5" t="s">
        <v>50</v>
      </c>
    </row>
    <row r="28" spans="1:10">
      <c r="C28" s="5" t="s">
        <v>73</v>
      </c>
      <c r="D28" s="5" t="s">
        <v>74</v>
      </c>
      <c r="F28" s="14">
        <v>58301</v>
      </c>
      <c r="G28" s="14">
        <v>174902</v>
      </c>
      <c r="H28" s="14">
        <v>233203</v>
      </c>
      <c r="I28" s="14">
        <v>699609</v>
      </c>
      <c r="J28" s="5" t="s">
        <v>50</v>
      </c>
    </row>
    <row r="29" spans="1:10">
      <c r="A29" s="21" t="s">
        <v>75</v>
      </c>
      <c r="B29" s="15" t="s">
        <v>76</v>
      </c>
      <c r="C29" s="5" t="s">
        <v>14</v>
      </c>
      <c r="D29" s="5" t="s">
        <v>77</v>
      </c>
      <c r="F29" s="14">
        <v>547976</v>
      </c>
      <c r="G29" s="14">
        <v>741379</v>
      </c>
      <c r="H29" s="14">
        <v>805847</v>
      </c>
      <c r="I29" s="14">
        <v>1128186</v>
      </c>
      <c r="J29" s="5" t="s">
        <v>44</v>
      </c>
    </row>
    <row r="30" spans="1:10">
      <c r="C30" s="5" t="s">
        <v>67</v>
      </c>
      <c r="D30" s="5" t="s">
        <v>78</v>
      </c>
      <c r="F30" s="14">
        <v>107446</v>
      </c>
      <c r="G30" s="14">
        <v>322339</v>
      </c>
      <c r="H30" s="14">
        <v>429785</v>
      </c>
      <c r="I30" s="14">
        <v>1289356</v>
      </c>
      <c r="J30" s="5" t="s">
        <v>44</v>
      </c>
    </row>
    <row r="31" spans="1:10">
      <c r="A31" s="21" t="s">
        <v>79</v>
      </c>
      <c r="B31" s="22" t="s">
        <v>80</v>
      </c>
      <c r="C31" s="5" t="s">
        <v>14</v>
      </c>
      <c r="D31" s="5" t="s">
        <v>81</v>
      </c>
      <c r="F31" s="14">
        <v>5398</v>
      </c>
      <c r="G31" s="14">
        <v>7303</v>
      </c>
      <c r="H31" s="14">
        <v>7938</v>
      </c>
      <c r="I31" s="14">
        <v>11113</v>
      </c>
      <c r="J31" s="5" t="s">
        <v>44</v>
      </c>
    </row>
    <row r="32" spans="1:10">
      <c r="A32" s="21" t="s">
        <v>82</v>
      </c>
      <c r="B32" s="19" t="s">
        <v>83</v>
      </c>
      <c r="C32" s="5" t="s">
        <v>14</v>
      </c>
      <c r="D32" s="5" t="s">
        <v>15</v>
      </c>
      <c r="F32" s="14">
        <v>87931</v>
      </c>
      <c r="G32" s="14">
        <v>118966</v>
      </c>
      <c r="H32" s="14">
        <v>129311</v>
      </c>
      <c r="I32" s="14">
        <v>181035</v>
      </c>
      <c r="J32" s="5" t="s">
        <v>38</v>
      </c>
    </row>
    <row r="33" spans="1:11">
      <c r="A33" s="21" t="s">
        <v>84</v>
      </c>
      <c r="B33" s="15" t="s">
        <v>85</v>
      </c>
      <c r="C33" s="5" t="s">
        <v>14</v>
      </c>
      <c r="D33" s="5" t="s">
        <v>86</v>
      </c>
      <c r="F33" s="14">
        <v>538969</v>
      </c>
      <c r="G33" s="14">
        <v>729194</v>
      </c>
      <c r="H33" s="14">
        <v>792602</v>
      </c>
      <c r="I33" s="14">
        <v>1109543</v>
      </c>
      <c r="J33" s="5" t="s">
        <v>24</v>
      </c>
    </row>
    <row r="34" spans="1:11">
      <c r="C34" s="5" t="s">
        <v>14</v>
      </c>
      <c r="D34" s="5" t="s">
        <v>87</v>
      </c>
      <c r="F34" s="14">
        <v>59885</v>
      </c>
      <c r="G34" s="14">
        <v>81022</v>
      </c>
      <c r="H34" s="14">
        <v>88067</v>
      </c>
      <c r="I34" s="14">
        <v>123294</v>
      </c>
      <c r="J34" s="5" t="s">
        <v>24</v>
      </c>
    </row>
    <row r="35" spans="1:11">
      <c r="A35" s="21" t="s">
        <v>79</v>
      </c>
      <c r="B35" s="22" t="s">
        <v>88</v>
      </c>
      <c r="C35" s="5" t="s">
        <v>14</v>
      </c>
      <c r="D35" s="5" t="s">
        <v>86</v>
      </c>
      <c r="F35" s="14">
        <v>36228</v>
      </c>
      <c r="G35" s="14">
        <v>49014</v>
      </c>
      <c r="H35" s="14">
        <v>53276</v>
      </c>
      <c r="I35" s="14">
        <v>74587</v>
      </c>
      <c r="J35" s="5" t="s">
        <v>24</v>
      </c>
    </row>
    <row r="36" spans="1:11">
      <c r="C36" s="5" t="s">
        <v>14</v>
      </c>
      <c r="D36" s="5" t="s">
        <v>87</v>
      </c>
      <c r="F36" s="14">
        <v>4025</v>
      </c>
      <c r="G36" s="14">
        <v>5446</v>
      </c>
      <c r="H36" s="14">
        <v>5920</v>
      </c>
      <c r="I36" s="14">
        <v>8287</v>
      </c>
      <c r="J36" s="5" t="s">
        <v>24</v>
      </c>
    </row>
    <row r="37" spans="1:11">
      <c r="A37" s="21" t="s">
        <v>89</v>
      </c>
      <c r="B37" s="15" t="s">
        <v>90</v>
      </c>
      <c r="C37" s="5" t="s">
        <v>14</v>
      </c>
      <c r="D37" s="5" t="s">
        <v>91</v>
      </c>
      <c r="F37" s="14">
        <v>90739</v>
      </c>
      <c r="G37" s="14">
        <v>122765</v>
      </c>
      <c r="H37" s="14">
        <v>133440</v>
      </c>
      <c r="I37" s="14">
        <v>186816</v>
      </c>
      <c r="J37" s="5" t="s">
        <v>34</v>
      </c>
    </row>
    <row r="38" spans="1:11">
      <c r="C38" s="5" t="s">
        <v>92</v>
      </c>
      <c r="D38" s="5" t="s">
        <v>93</v>
      </c>
      <c r="F38" s="14">
        <v>13344</v>
      </c>
      <c r="G38" s="14">
        <v>28022</v>
      </c>
      <c r="H38" s="14">
        <v>40032</v>
      </c>
      <c r="I38" s="14">
        <v>52042</v>
      </c>
      <c r="J38" s="5" t="s">
        <v>34</v>
      </c>
    </row>
    <row r="39" spans="1:11">
      <c r="A39" s="21" t="s">
        <v>94</v>
      </c>
      <c r="B39" s="15" t="s">
        <v>95</v>
      </c>
      <c r="C39" s="5" t="s">
        <v>14</v>
      </c>
      <c r="D39" s="5" t="s">
        <v>96</v>
      </c>
      <c r="F39" s="14">
        <v>60218</v>
      </c>
      <c r="G39" s="14">
        <v>81471</v>
      </c>
      <c r="H39" s="14">
        <v>88556</v>
      </c>
      <c r="I39" s="14">
        <v>123978</v>
      </c>
      <c r="J39" s="5" t="s">
        <v>18</v>
      </c>
    </row>
    <row r="40" spans="1:11">
      <c r="C40" s="5" t="s">
        <v>14</v>
      </c>
      <c r="D40" s="5" t="s">
        <v>97</v>
      </c>
      <c r="F40" s="14">
        <v>15054</v>
      </c>
      <c r="G40" s="14">
        <v>20368</v>
      </c>
      <c r="H40" s="14">
        <v>22139</v>
      </c>
      <c r="I40" s="14">
        <v>30994</v>
      </c>
      <c r="J40" s="5" t="s">
        <v>18</v>
      </c>
    </row>
    <row r="41" spans="1:11">
      <c r="A41" s="5" t="s">
        <v>98</v>
      </c>
      <c r="B41" s="15" t="s">
        <v>99</v>
      </c>
      <c r="C41" s="5" t="s">
        <v>14</v>
      </c>
      <c r="D41" s="5" t="s">
        <v>15</v>
      </c>
      <c r="F41" s="14">
        <v>61227</v>
      </c>
      <c r="G41" s="14">
        <v>82836</v>
      </c>
      <c r="H41" s="14">
        <v>90039</v>
      </c>
      <c r="I41" s="14">
        <v>126055</v>
      </c>
      <c r="J41" s="5" t="s">
        <v>100</v>
      </c>
      <c r="K41" s="5" t="s">
        <v>101</v>
      </c>
    </row>
    <row r="43" spans="1:11">
      <c r="A43" s="5" t="s">
        <v>102</v>
      </c>
    </row>
    <row r="44" spans="1:11">
      <c r="A44" s="21" t="s">
        <v>103</v>
      </c>
      <c r="B44" s="19" t="s">
        <v>104</v>
      </c>
      <c r="C44" s="5" t="s">
        <v>14</v>
      </c>
      <c r="D44" s="5" t="s">
        <v>15</v>
      </c>
      <c r="F44" s="14">
        <v>40781</v>
      </c>
      <c r="G44" s="14">
        <v>55174</v>
      </c>
      <c r="H44" s="14">
        <v>59972</v>
      </c>
      <c r="I44" s="14">
        <v>83961</v>
      </c>
    </row>
    <row r="45" spans="1:11">
      <c r="A45" s="21" t="s">
        <v>105</v>
      </c>
      <c r="B45" s="19" t="s">
        <v>106</v>
      </c>
      <c r="C45" s="5" t="s">
        <v>14</v>
      </c>
      <c r="D45" s="5" t="s">
        <v>96</v>
      </c>
      <c r="F45" s="14">
        <v>50767</v>
      </c>
      <c r="G45" s="14">
        <v>68685</v>
      </c>
      <c r="H45" s="14">
        <v>74658</v>
      </c>
      <c r="I45" s="14">
        <v>104521</v>
      </c>
    </row>
    <row r="46" spans="1:11">
      <c r="C46" s="5" t="s">
        <v>14</v>
      </c>
      <c r="D46" s="5" t="s">
        <v>107</v>
      </c>
      <c r="F46" s="14">
        <v>12692</v>
      </c>
      <c r="G46" s="14">
        <v>17171</v>
      </c>
      <c r="H46" s="14">
        <v>18665</v>
      </c>
      <c r="I46" s="14">
        <v>26130</v>
      </c>
    </row>
    <row r="47" spans="1:11">
      <c r="A47" s="21" t="s">
        <v>108</v>
      </c>
      <c r="B47" t="s">
        <v>109</v>
      </c>
      <c r="C47" s="5" t="s">
        <v>14</v>
      </c>
      <c r="D47" s="5" t="s">
        <v>77</v>
      </c>
      <c r="F47" s="14">
        <v>32859</v>
      </c>
      <c r="G47" s="14">
        <v>44456</v>
      </c>
      <c r="H47" s="14">
        <v>48322</v>
      </c>
      <c r="I47" s="14">
        <v>67651</v>
      </c>
    </row>
    <row r="48" spans="1:11">
      <c r="C48" s="5" t="s">
        <v>14</v>
      </c>
      <c r="D48" s="5" t="s">
        <v>110</v>
      </c>
      <c r="F48" s="14">
        <v>10953</v>
      </c>
      <c r="G48" s="14">
        <v>14819</v>
      </c>
      <c r="H48" s="14">
        <v>15107</v>
      </c>
      <c r="I48" s="14">
        <v>22550</v>
      </c>
    </row>
    <row r="49" spans="1:9">
      <c r="C49" s="5" t="s">
        <v>14</v>
      </c>
      <c r="D49" s="5" t="s">
        <v>107</v>
      </c>
      <c r="F49" s="14">
        <v>10953</v>
      </c>
      <c r="G49" s="14">
        <v>14819</v>
      </c>
      <c r="H49" s="14">
        <v>15107</v>
      </c>
      <c r="I49" s="14">
        <v>22550</v>
      </c>
    </row>
    <row r="50" spans="1:9">
      <c r="A50" s="21" t="s">
        <v>111</v>
      </c>
      <c r="B50" s="19" t="s">
        <v>112</v>
      </c>
      <c r="C50" s="5" t="s">
        <v>14</v>
      </c>
      <c r="D50" s="5" t="s">
        <v>15</v>
      </c>
      <c r="F50" s="14">
        <v>41556</v>
      </c>
      <c r="G50" s="14">
        <v>56236</v>
      </c>
      <c r="H50" s="14">
        <v>61126</v>
      </c>
      <c r="I50" s="14">
        <v>85576</v>
      </c>
    </row>
    <row r="51" spans="1:9">
      <c r="A51" s="23" t="s">
        <v>113</v>
      </c>
      <c r="B51" s="7" t="s">
        <v>114</v>
      </c>
      <c r="C51" s="5" t="s">
        <v>14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49A1574-27FC-424E-9445-8C8D701658D2}">
          <x14:formula1>
            <xm:f>'Options for KPI UT Levels'!$A$2:$A$47</xm:f>
          </x14:formula1>
          <xm:sqref>I1 C3:C454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215964-A964-0541-B96E-E86F780712DE}">
  <dimension ref="A1:B47"/>
  <sheetViews>
    <sheetView zoomScaleNormal="100" workbookViewId="0"/>
  </sheetViews>
  <sheetFormatPr defaultColWidth="10.875" defaultRowHeight="21.95" customHeight="1"/>
  <cols>
    <col min="1" max="1" width="33.5" style="4" bestFit="1" customWidth="1"/>
    <col min="2" max="2" width="47.625" style="2" bestFit="1" customWidth="1"/>
    <col min="3" max="16384" width="10.875" style="2"/>
  </cols>
  <sheetData>
    <row r="1" spans="1:2" ht="21.95" customHeight="1">
      <c r="A1" s="1" t="s">
        <v>3</v>
      </c>
      <c r="B1" s="1" t="s">
        <v>4</v>
      </c>
    </row>
    <row r="2" spans="1:2" ht="21.95" customHeight="1">
      <c r="A2" s="91" t="s">
        <v>27</v>
      </c>
      <c r="B2" s="2" t="s">
        <v>115</v>
      </c>
    </row>
    <row r="3" spans="1:2" ht="21.95" customHeight="1">
      <c r="A3" s="91"/>
      <c r="B3" s="2" t="s">
        <v>116</v>
      </c>
    </row>
    <row r="4" spans="1:2" ht="21.95" customHeight="1">
      <c r="A4" s="91"/>
      <c r="B4" s="2" t="s">
        <v>117</v>
      </c>
    </row>
    <row r="5" spans="1:2" ht="21.95" customHeight="1">
      <c r="A5" s="92"/>
      <c r="B5" s="3" t="s">
        <v>118</v>
      </c>
    </row>
    <row r="6" spans="1:2" ht="21.95" customHeight="1">
      <c r="A6" s="91" t="s">
        <v>14</v>
      </c>
      <c r="B6" s="2" t="s">
        <v>37</v>
      </c>
    </row>
    <row r="7" spans="1:2" ht="21.95" customHeight="1">
      <c r="A7" s="91"/>
      <c r="B7" s="2" t="s">
        <v>119</v>
      </c>
    </row>
    <row r="8" spans="1:2" ht="21.95" customHeight="1">
      <c r="A8" s="92"/>
      <c r="B8" s="3" t="s">
        <v>15</v>
      </c>
    </row>
    <row r="9" spans="1:2" ht="21.95" customHeight="1">
      <c r="A9" s="91" t="s">
        <v>73</v>
      </c>
      <c r="B9" s="2" t="s">
        <v>120</v>
      </c>
    </row>
    <row r="10" spans="1:2" ht="21.95" customHeight="1">
      <c r="A10" s="91"/>
      <c r="B10" s="2" t="s">
        <v>121</v>
      </c>
    </row>
    <row r="11" spans="1:2" ht="21.95" customHeight="1">
      <c r="A11" s="92"/>
      <c r="B11" s="3" t="s">
        <v>122</v>
      </c>
    </row>
    <row r="12" spans="1:2" ht="21.95" customHeight="1">
      <c r="A12" s="91" t="s">
        <v>123</v>
      </c>
      <c r="B12" s="2" t="s">
        <v>124</v>
      </c>
    </row>
    <row r="13" spans="1:2" ht="21.95" customHeight="1">
      <c r="A13" s="91"/>
      <c r="B13" s="2" t="s">
        <v>125</v>
      </c>
    </row>
    <row r="14" spans="1:2" ht="21.95" customHeight="1">
      <c r="A14" s="92"/>
      <c r="B14" s="3" t="s">
        <v>126</v>
      </c>
    </row>
    <row r="15" spans="1:2" ht="21.95" customHeight="1">
      <c r="A15" s="81" t="s">
        <v>127</v>
      </c>
      <c r="B15" s="3" t="s">
        <v>128</v>
      </c>
    </row>
    <row r="16" spans="1:2" ht="21.95" customHeight="1">
      <c r="A16" s="91" t="s">
        <v>129</v>
      </c>
      <c r="B16" s="2" t="s">
        <v>130</v>
      </c>
    </row>
    <row r="17" spans="1:2" ht="21.95" customHeight="1">
      <c r="A17" s="91"/>
      <c r="B17" s="2" t="s">
        <v>131</v>
      </c>
    </row>
    <row r="18" spans="1:2" ht="21.95" customHeight="1">
      <c r="A18" s="91"/>
      <c r="B18" s="2" t="s">
        <v>132</v>
      </c>
    </row>
    <row r="19" spans="1:2" ht="21.95" customHeight="1">
      <c r="A19" s="92"/>
      <c r="B19" s="3" t="s">
        <v>133</v>
      </c>
    </row>
    <row r="20" spans="1:2" ht="21.95" customHeight="1">
      <c r="A20" s="81" t="s">
        <v>92</v>
      </c>
      <c r="B20" s="3" t="s">
        <v>134</v>
      </c>
    </row>
    <row r="21" spans="1:2" ht="21.95" customHeight="1">
      <c r="A21" s="91" t="s">
        <v>67</v>
      </c>
      <c r="B21" s="2" t="s">
        <v>135</v>
      </c>
    </row>
    <row r="22" spans="1:2" ht="21.95" customHeight="1">
      <c r="A22" s="91"/>
      <c r="B22" s="2" t="s">
        <v>136</v>
      </c>
    </row>
    <row r="23" spans="1:2" ht="21.95" customHeight="1">
      <c r="A23" s="92"/>
      <c r="B23" s="3" t="s">
        <v>137</v>
      </c>
    </row>
    <row r="24" spans="1:2" ht="21.95" customHeight="1">
      <c r="A24" s="91" t="s">
        <v>138</v>
      </c>
      <c r="B24" s="2" t="s">
        <v>139</v>
      </c>
    </row>
    <row r="25" spans="1:2" ht="21.95" customHeight="1">
      <c r="A25" s="91"/>
      <c r="B25" s="2" t="s">
        <v>140</v>
      </c>
    </row>
    <row r="26" spans="1:2" ht="21.95" customHeight="1">
      <c r="A26" s="91"/>
      <c r="B26" s="2" t="s">
        <v>141</v>
      </c>
    </row>
    <row r="27" spans="1:2" ht="21.95" customHeight="1">
      <c r="A27" s="91"/>
      <c r="B27" s="2" t="s">
        <v>142</v>
      </c>
    </row>
    <row r="28" spans="1:2" ht="21.95" customHeight="1">
      <c r="A28" s="91"/>
      <c r="B28" s="2" t="s">
        <v>143</v>
      </c>
    </row>
    <row r="29" spans="1:2" ht="21.95" customHeight="1">
      <c r="A29" s="91"/>
      <c r="B29" s="2" t="s">
        <v>144</v>
      </c>
    </row>
    <row r="30" spans="1:2" ht="21.95" customHeight="1">
      <c r="A30" s="91"/>
      <c r="B30" s="2" t="s">
        <v>145</v>
      </c>
    </row>
    <row r="31" spans="1:2" ht="21.95" customHeight="1">
      <c r="A31" s="92"/>
      <c r="B31" s="3" t="s">
        <v>146</v>
      </c>
    </row>
    <row r="32" spans="1:2" ht="21.95" customHeight="1">
      <c r="A32" s="91" t="s">
        <v>147</v>
      </c>
      <c r="B32" s="2" t="s">
        <v>148</v>
      </c>
    </row>
    <row r="33" spans="1:2" ht="21.95" customHeight="1">
      <c r="A33" s="91"/>
      <c r="B33" s="2" t="s">
        <v>149</v>
      </c>
    </row>
    <row r="34" spans="1:2" ht="21.95" customHeight="1">
      <c r="A34" s="91"/>
      <c r="B34" s="2" t="s">
        <v>150</v>
      </c>
    </row>
    <row r="35" spans="1:2" ht="21.95" customHeight="1">
      <c r="A35" s="91"/>
      <c r="B35" s="2" t="s">
        <v>151</v>
      </c>
    </row>
    <row r="36" spans="1:2" ht="21.95" customHeight="1">
      <c r="A36" s="91"/>
      <c r="B36" s="2" t="s">
        <v>152</v>
      </c>
    </row>
    <row r="37" spans="1:2" ht="21.95" customHeight="1">
      <c r="A37" s="91"/>
      <c r="B37" s="2" t="s">
        <v>153</v>
      </c>
    </row>
    <row r="38" spans="1:2" ht="21.95" customHeight="1">
      <c r="A38" s="91"/>
      <c r="B38" s="2" t="s">
        <v>154</v>
      </c>
    </row>
    <row r="39" spans="1:2" ht="21.95" customHeight="1">
      <c r="A39" s="92"/>
      <c r="B39" s="3" t="s">
        <v>155</v>
      </c>
    </row>
    <row r="40" spans="1:2" ht="21.95" customHeight="1">
      <c r="A40" s="81" t="s">
        <v>156</v>
      </c>
      <c r="B40" s="3" t="s">
        <v>157</v>
      </c>
    </row>
    <row r="41" spans="1:2" ht="21.95" customHeight="1">
      <c r="A41" s="91" t="s">
        <v>158</v>
      </c>
      <c r="B41" s="2" t="s">
        <v>159</v>
      </c>
    </row>
    <row r="42" spans="1:2" ht="21.95" customHeight="1">
      <c r="A42" s="92"/>
      <c r="B42" s="3" t="s">
        <v>160</v>
      </c>
    </row>
    <row r="43" spans="1:2" ht="21.95" customHeight="1">
      <c r="A43" s="91" t="s">
        <v>161</v>
      </c>
      <c r="B43" s="2" t="s">
        <v>162</v>
      </c>
    </row>
    <row r="44" spans="1:2" ht="21.95" customHeight="1">
      <c r="A44" s="92"/>
      <c r="B44" s="3" t="s">
        <v>163</v>
      </c>
    </row>
    <row r="45" spans="1:2" ht="21.95" customHeight="1">
      <c r="A45" s="91" t="s">
        <v>164</v>
      </c>
      <c r="B45" s="2" t="s">
        <v>165</v>
      </c>
    </row>
    <row r="46" spans="1:2" ht="21.95" customHeight="1">
      <c r="A46" s="91"/>
      <c r="B46" s="2" t="s">
        <v>166</v>
      </c>
    </row>
    <row r="47" spans="1:2" ht="21.95" customHeight="1">
      <c r="A47" s="92"/>
      <c r="B47" s="3" t="s">
        <v>167</v>
      </c>
    </row>
  </sheetData>
  <mergeCells count="11">
    <mergeCell ref="A21:A23"/>
    <mergeCell ref="A2:A5"/>
    <mergeCell ref="A6:A8"/>
    <mergeCell ref="A9:A11"/>
    <mergeCell ref="A12:A14"/>
    <mergeCell ref="A16:A19"/>
    <mergeCell ref="A24:A31"/>
    <mergeCell ref="A32:A39"/>
    <mergeCell ref="A41:A42"/>
    <mergeCell ref="A43:A44"/>
    <mergeCell ref="A45:A4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307D47-8875-4602-80DC-B7A7E6B966D7}">
  <sheetPr>
    <tabColor rgb="FF92D050"/>
  </sheetPr>
  <dimension ref="A1:K64"/>
  <sheetViews>
    <sheetView topLeftCell="B30" zoomScaleNormal="100" workbookViewId="0">
      <selection activeCell="E3" sqref="E3"/>
    </sheetView>
  </sheetViews>
  <sheetFormatPr defaultColWidth="9" defaultRowHeight="15.95"/>
  <cols>
    <col min="1" max="1" width="60.375" style="25" customWidth="1"/>
    <col min="2" max="2" width="14.125" style="25" customWidth="1"/>
    <col min="3" max="3" width="17.875" style="25" customWidth="1"/>
    <col min="4" max="4" width="20.5" style="25" customWidth="1"/>
    <col min="5" max="11" width="21.125" style="25" customWidth="1"/>
    <col min="12" max="16384" width="9" style="25"/>
  </cols>
  <sheetData>
    <row r="1" spans="1:11" ht="21.95">
      <c r="A1" s="24" t="s">
        <v>168</v>
      </c>
      <c r="B1" s="24"/>
      <c r="C1" s="24"/>
      <c r="D1" s="24"/>
      <c r="E1" s="24"/>
      <c r="F1" s="24"/>
      <c r="G1" s="24"/>
      <c r="H1" s="24"/>
      <c r="I1" s="24"/>
      <c r="J1" s="24"/>
      <c r="K1" s="24"/>
    </row>
    <row r="2" spans="1:11">
      <c r="A2" s="26" t="s">
        <v>1</v>
      </c>
      <c r="B2" s="26" t="s">
        <v>2</v>
      </c>
      <c r="C2" s="26" t="s">
        <v>3</v>
      </c>
      <c r="D2" s="26" t="s">
        <v>4</v>
      </c>
      <c r="E2" s="26" t="s">
        <v>5</v>
      </c>
      <c r="F2" s="26" t="s">
        <v>6</v>
      </c>
      <c r="G2" s="26" t="s">
        <v>7</v>
      </c>
      <c r="H2" s="26" t="s">
        <v>8</v>
      </c>
      <c r="I2" s="26" t="s">
        <v>9</v>
      </c>
      <c r="J2" s="26" t="s">
        <v>10</v>
      </c>
      <c r="K2" s="26" t="s">
        <v>11</v>
      </c>
    </row>
    <row r="3" spans="1:11">
      <c r="A3" s="44" t="s">
        <v>169</v>
      </c>
      <c r="B3" s="32" t="s">
        <v>170</v>
      </c>
      <c r="C3" s="25" t="s">
        <v>14</v>
      </c>
      <c r="D3" s="25" t="s">
        <v>171</v>
      </c>
      <c r="E3" s="29">
        <f t="shared" ref="E3:E19" si="0">SUM(F3:I3)</f>
        <v>1193293</v>
      </c>
      <c r="F3" s="28">
        <f>202860</f>
        <v>202860</v>
      </c>
      <c r="G3" s="28">
        <f>274457</f>
        <v>274457</v>
      </c>
      <c r="H3" s="28">
        <f>298323</f>
        <v>298323</v>
      </c>
      <c r="I3" s="28">
        <f>417653</f>
        <v>417653</v>
      </c>
      <c r="J3" s="25" t="s">
        <v>18</v>
      </c>
    </row>
    <row r="4" spans="1:11" s="35" customFormat="1">
      <c r="A4" s="45" t="s">
        <v>172</v>
      </c>
      <c r="B4" s="34" t="s">
        <v>170</v>
      </c>
      <c r="C4" s="35" t="s">
        <v>14</v>
      </c>
      <c r="D4" s="35" t="s">
        <v>173</v>
      </c>
      <c r="E4" s="36">
        <f t="shared" si="0"/>
        <v>132588</v>
      </c>
      <c r="F4" s="36">
        <v>22540</v>
      </c>
      <c r="G4" s="36">
        <v>30495</v>
      </c>
      <c r="H4" s="36">
        <v>33147</v>
      </c>
      <c r="I4" s="36">
        <v>46406</v>
      </c>
      <c r="J4" s="35" t="s">
        <v>18</v>
      </c>
    </row>
    <row r="5" spans="1:11">
      <c r="A5" s="44" t="s">
        <v>174</v>
      </c>
      <c r="B5" s="32" t="s">
        <v>175</v>
      </c>
      <c r="C5" s="25" t="s">
        <v>14</v>
      </c>
      <c r="D5" s="25" t="s">
        <v>15</v>
      </c>
      <c r="E5" s="29">
        <f t="shared" si="0"/>
        <v>4666423</v>
      </c>
      <c r="F5" s="29">
        <v>793292</v>
      </c>
      <c r="G5" s="29">
        <v>1073277</v>
      </c>
      <c r="H5" s="29">
        <v>1166606</v>
      </c>
      <c r="I5" s="29">
        <v>1633248</v>
      </c>
      <c r="J5" s="25" t="s">
        <v>44</v>
      </c>
    </row>
    <row r="6" spans="1:11">
      <c r="A6" s="46" t="s">
        <v>176</v>
      </c>
      <c r="B6" s="32" t="s">
        <v>177</v>
      </c>
      <c r="C6" s="25" t="s">
        <v>14</v>
      </c>
      <c r="D6" s="25" t="s">
        <v>15</v>
      </c>
      <c r="E6" s="29">
        <f t="shared" si="0"/>
        <v>2159128</v>
      </c>
      <c r="F6" s="29">
        <v>367052</v>
      </c>
      <c r="G6" s="29">
        <v>496599</v>
      </c>
      <c r="H6" s="29">
        <v>539782</v>
      </c>
      <c r="I6" s="29">
        <v>755695</v>
      </c>
      <c r="J6" s="25" t="s">
        <v>38</v>
      </c>
    </row>
    <row r="7" spans="1:11" s="34" customFormat="1">
      <c r="A7" s="47" t="s">
        <v>178</v>
      </c>
      <c r="B7" s="34" t="s">
        <v>177</v>
      </c>
      <c r="C7" s="34" t="s">
        <v>27</v>
      </c>
      <c r="D7" s="34" t="s">
        <v>179</v>
      </c>
      <c r="E7" s="37">
        <f t="shared" si="0"/>
        <v>239904</v>
      </c>
      <c r="F7" s="37">
        <v>40784</v>
      </c>
      <c r="G7" s="37">
        <v>55178</v>
      </c>
      <c r="H7" s="37">
        <v>59976</v>
      </c>
      <c r="I7" s="37">
        <v>83966</v>
      </c>
      <c r="J7" s="34" t="s">
        <v>38</v>
      </c>
    </row>
    <row r="8" spans="1:11">
      <c r="A8" s="46" t="s">
        <v>180</v>
      </c>
      <c r="B8" s="32" t="s">
        <v>181</v>
      </c>
      <c r="C8" s="25" t="s">
        <v>14</v>
      </c>
      <c r="D8" s="25" t="s">
        <v>15</v>
      </c>
      <c r="E8" s="29">
        <f t="shared" si="0"/>
        <v>3617747</v>
      </c>
      <c r="F8" s="29">
        <v>615017</v>
      </c>
      <c r="G8" s="29">
        <v>832082</v>
      </c>
      <c r="H8" s="29">
        <v>904437</v>
      </c>
      <c r="I8" s="29">
        <v>1266211</v>
      </c>
      <c r="J8" s="25" t="s">
        <v>44</v>
      </c>
    </row>
    <row r="9" spans="1:11">
      <c r="A9" s="46" t="s">
        <v>182</v>
      </c>
      <c r="B9" s="32" t="s">
        <v>183</v>
      </c>
      <c r="C9" s="25" t="s">
        <v>14</v>
      </c>
      <c r="D9" s="25" t="s">
        <v>184</v>
      </c>
      <c r="E9" s="29">
        <f t="shared" si="0"/>
        <v>2275021</v>
      </c>
      <c r="F9" s="29">
        <v>386754</v>
      </c>
      <c r="G9" s="29">
        <v>523255</v>
      </c>
      <c r="H9" s="29">
        <v>568755</v>
      </c>
      <c r="I9" s="29">
        <v>796257</v>
      </c>
      <c r="J9" s="25" t="s">
        <v>24</v>
      </c>
    </row>
    <row r="10" spans="1:11">
      <c r="A10" s="47" t="s">
        <v>185</v>
      </c>
      <c r="B10" s="34" t="s">
        <v>183</v>
      </c>
      <c r="C10" s="34" t="s">
        <v>14</v>
      </c>
      <c r="D10" s="34" t="s">
        <v>173</v>
      </c>
      <c r="E10" s="37">
        <f t="shared" ref="E10" si="1">SUM(F10:I10)</f>
        <v>252780</v>
      </c>
      <c r="F10" s="36">
        <v>42973</v>
      </c>
      <c r="G10" s="36">
        <v>58139</v>
      </c>
      <c r="H10" s="36">
        <v>63195</v>
      </c>
      <c r="I10" s="36">
        <v>88473</v>
      </c>
    </row>
    <row r="11" spans="1:11">
      <c r="A11" s="47" t="s">
        <v>185</v>
      </c>
      <c r="B11" s="34" t="s">
        <v>183</v>
      </c>
      <c r="C11" s="34" t="s">
        <v>14</v>
      </c>
      <c r="D11" s="34" t="s">
        <v>186</v>
      </c>
      <c r="E11" s="37">
        <f>SUM(F11:I11)</f>
        <v>505560</v>
      </c>
      <c r="F11" s="36">
        <f>42973*200%</f>
        <v>85946</v>
      </c>
      <c r="G11" s="36">
        <f>58139*200%</f>
        <v>116278</v>
      </c>
      <c r="H11" s="36">
        <f>63195*200%</f>
        <v>126390</v>
      </c>
      <c r="I11" s="36">
        <f>88473*200%</f>
        <v>176946</v>
      </c>
      <c r="J11" s="35" t="s">
        <v>24</v>
      </c>
      <c r="K11" s="35"/>
    </row>
    <row r="12" spans="1:11">
      <c r="A12" s="46" t="s">
        <v>187</v>
      </c>
      <c r="B12" s="33" t="s">
        <v>188</v>
      </c>
      <c r="C12" s="25" t="s">
        <v>14</v>
      </c>
      <c r="D12" s="25" t="s">
        <v>171</v>
      </c>
      <c r="E12" s="29">
        <f t="shared" si="0"/>
        <v>1390063</v>
      </c>
      <c r="F12" s="29">
        <v>236311</v>
      </c>
      <c r="G12" s="29">
        <v>319714</v>
      </c>
      <c r="H12" s="29">
        <v>347516</v>
      </c>
      <c r="I12" s="29">
        <v>486522</v>
      </c>
      <c r="J12" s="25" t="s">
        <v>21</v>
      </c>
    </row>
    <row r="13" spans="1:11">
      <c r="A13" s="48" t="s">
        <v>189</v>
      </c>
      <c r="B13" s="35" t="s">
        <v>188</v>
      </c>
      <c r="C13" s="35" t="s">
        <v>14</v>
      </c>
      <c r="D13" s="34" t="s">
        <v>173</v>
      </c>
      <c r="E13" s="36">
        <f t="shared" si="0"/>
        <v>154452</v>
      </c>
      <c r="F13" s="36">
        <v>26257</v>
      </c>
      <c r="G13" s="36">
        <v>35524</v>
      </c>
      <c r="H13" s="36">
        <v>38613</v>
      </c>
      <c r="I13" s="36">
        <v>54058</v>
      </c>
      <c r="J13" s="38" t="s">
        <v>21</v>
      </c>
    </row>
    <row r="14" spans="1:11">
      <c r="A14" s="46" t="s">
        <v>190</v>
      </c>
      <c r="B14" s="33" t="s">
        <v>191</v>
      </c>
      <c r="C14" s="25" t="s">
        <v>14</v>
      </c>
      <c r="D14" s="25" t="s">
        <v>15</v>
      </c>
      <c r="E14" s="29">
        <f t="shared" si="0"/>
        <v>369031</v>
      </c>
      <c r="F14" s="29">
        <v>62735</v>
      </c>
      <c r="G14" s="29">
        <v>84877</v>
      </c>
      <c r="H14" s="29">
        <v>92258</v>
      </c>
      <c r="I14" s="29">
        <v>129161</v>
      </c>
      <c r="J14" s="25" t="s">
        <v>50</v>
      </c>
    </row>
    <row r="15" spans="1:11">
      <c r="A15" s="48" t="s">
        <v>192</v>
      </c>
      <c r="B15" s="35" t="s">
        <v>191</v>
      </c>
      <c r="C15" s="35" t="s">
        <v>14</v>
      </c>
      <c r="D15" s="35" t="s">
        <v>171</v>
      </c>
      <c r="E15" s="36">
        <f t="shared" si="0"/>
        <v>258322</v>
      </c>
      <c r="F15" s="36">
        <v>43915</v>
      </c>
      <c r="G15" s="36">
        <v>59414</v>
      </c>
      <c r="H15" s="36">
        <v>64580</v>
      </c>
      <c r="I15" s="36">
        <v>90413</v>
      </c>
      <c r="J15" s="35" t="s">
        <v>50</v>
      </c>
    </row>
    <row r="16" spans="1:11">
      <c r="A16" s="48" t="s">
        <v>192</v>
      </c>
      <c r="B16" s="35" t="s">
        <v>191</v>
      </c>
      <c r="C16" s="35" t="s">
        <v>14</v>
      </c>
      <c r="D16" s="35" t="s">
        <v>173</v>
      </c>
      <c r="E16" s="36">
        <f t="shared" si="0"/>
        <v>110709</v>
      </c>
      <c r="F16" s="36">
        <v>18821</v>
      </c>
      <c r="G16" s="36">
        <v>25463</v>
      </c>
      <c r="H16" s="36">
        <v>27677</v>
      </c>
      <c r="I16" s="36">
        <v>38748</v>
      </c>
      <c r="J16" s="35" t="s">
        <v>50</v>
      </c>
    </row>
    <row r="17" spans="1:10">
      <c r="A17" s="46" t="s">
        <v>193</v>
      </c>
      <c r="B17" s="33" t="s">
        <v>194</v>
      </c>
      <c r="C17" s="25" t="s">
        <v>14</v>
      </c>
      <c r="D17" s="25" t="s">
        <v>15</v>
      </c>
      <c r="E17" s="29">
        <f t="shared" si="0"/>
        <v>579418</v>
      </c>
      <c r="F17" s="29">
        <v>98501</v>
      </c>
      <c r="G17" s="29">
        <v>133266</v>
      </c>
      <c r="H17" s="29">
        <v>144855</v>
      </c>
      <c r="I17" s="29">
        <v>202796</v>
      </c>
      <c r="J17" s="25" t="s">
        <v>50</v>
      </c>
    </row>
    <row r="18" spans="1:10">
      <c r="A18" s="46" t="s">
        <v>195</v>
      </c>
      <c r="B18" s="33" t="s">
        <v>196</v>
      </c>
      <c r="C18" s="25" t="s">
        <v>14</v>
      </c>
      <c r="D18" s="25" t="s">
        <v>171</v>
      </c>
      <c r="E18" s="29">
        <f t="shared" si="0"/>
        <v>3474775</v>
      </c>
      <c r="F18" s="29">
        <v>590712</v>
      </c>
      <c r="G18" s="29">
        <v>799198</v>
      </c>
      <c r="H18" s="29">
        <v>868694</v>
      </c>
      <c r="I18" s="29">
        <v>1216171</v>
      </c>
      <c r="J18" s="25" t="s">
        <v>54</v>
      </c>
    </row>
    <row r="19" spans="1:10">
      <c r="A19" s="49" t="s">
        <v>197</v>
      </c>
      <c r="B19" s="39" t="s">
        <v>196</v>
      </c>
      <c r="C19" s="39" t="s">
        <v>14</v>
      </c>
      <c r="D19" s="39" t="s">
        <v>173</v>
      </c>
      <c r="E19" s="40">
        <f t="shared" si="0"/>
        <v>868694</v>
      </c>
      <c r="F19" s="40">
        <v>147678</v>
      </c>
      <c r="G19" s="40">
        <v>199800</v>
      </c>
      <c r="H19" s="40">
        <v>217173</v>
      </c>
      <c r="I19" s="40">
        <v>304043</v>
      </c>
      <c r="J19" s="39" t="s">
        <v>54</v>
      </c>
    </row>
    <row r="20" spans="1:10">
      <c r="A20" s="46" t="s">
        <v>198</v>
      </c>
      <c r="B20" s="32" t="s">
        <v>199</v>
      </c>
      <c r="C20" s="25" t="s">
        <v>14</v>
      </c>
      <c r="D20" s="25" t="s">
        <v>15</v>
      </c>
      <c r="E20" s="29">
        <f t="shared" ref="E20:E37" si="2">SUM(F20:I20)</f>
        <v>3678496</v>
      </c>
      <c r="F20" s="29">
        <v>625344</v>
      </c>
      <c r="G20" s="29">
        <v>846054</v>
      </c>
      <c r="H20" s="29">
        <v>919624</v>
      </c>
      <c r="I20" s="29">
        <v>1287474</v>
      </c>
      <c r="J20" s="25" t="s">
        <v>44</v>
      </c>
    </row>
    <row r="21" spans="1:10">
      <c r="A21" s="50" t="s">
        <v>200</v>
      </c>
      <c r="B21" s="41" t="s">
        <v>199</v>
      </c>
      <c r="C21" s="41" t="s">
        <v>14</v>
      </c>
      <c r="D21" s="41" t="s">
        <v>171</v>
      </c>
      <c r="E21" s="40">
        <f t="shared" si="2"/>
        <v>459812</v>
      </c>
      <c r="F21" s="42">
        <v>78168</v>
      </c>
      <c r="G21" s="42">
        <v>105757</v>
      </c>
      <c r="H21" s="42">
        <v>114953</v>
      </c>
      <c r="I21" s="42">
        <v>160934</v>
      </c>
      <c r="J21" s="41" t="s">
        <v>44</v>
      </c>
    </row>
    <row r="22" spans="1:10">
      <c r="A22" s="50" t="s">
        <v>200</v>
      </c>
      <c r="B22" s="41" t="s">
        <v>199</v>
      </c>
      <c r="C22" s="41" t="s">
        <v>27</v>
      </c>
      <c r="D22" s="41" t="s">
        <v>116</v>
      </c>
      <c r="E22" s="40">
        <f t="shared" si="2"/>
        <v>459812</v>
      </c>
      <c r="F22" s="42">
        <v>78168</v>
      </c>
      <c r="G22" s="42">
        <v>105757</v>
      </c>
      <c r="H22" s="42">
        <v>114953</v>
      </c>
      <c r="I22" s="42">
        <v>160934</v>
      </c>
      <c r="J22" s="41" t="s">
        <v>44</v>
      </c>
    </row>
    <row r="23" spans="1:10">
      <c r="A23" s="46" t="s">
        <v>201</v>
      </c>
      <c r="B23" s="32" t="s">
        <v>202</v>
      </c>
      <c r="C23" s="25" t="s">
        <v>14</v>
      </c>
      <c r="D23" s="25" t="s">
        <v>15</v>
      </c>
      <c r="E23" s="29">
        <f t="shared" si="2"/>
        <v>1515921</v>
      </c>
      <c r="F23" s="29">
        <v>257707</v>
      </c>
      <c r="G23" s="29">
        <v>348662</v>
      </c>
      <c r="H23" s="29">
        <v>378980</v>
      </c>
      <c r="I23" s="29">
        <v>530572</v>
      </c>
      <c r="J23" s="25" t="s">
        <v>38</v>
      </c>
    </row>
    <row r="24" spans="1:10">
      <c r="A24" s="46" t="s">
        <v>203</v>
      </c>
      <c r="B24" s="32" t="s">
        <v>204</v>
      </c>
      <c r="C24" s="25" t="s">
        <v>14</v>
      </c>
      <c r="D24" s="25" t="s">
        <v>15</v>
      </c>
      <c r="E24" s="29">
        <f t="shared" si="2"/>
        <v>2373481</v>
      </c>
      <c r="F24" s="29">
        <v>403492</v>
      </c>
      <c r="G24" s="29">
        <v>545901</v>
      </c>
      <c r="H24" s="29">
        <v>593370</v>
      </c>
      <c r="I24" s="29">
        <v>830718</v>
      </c>
      <c r="J24" s="25" t="s">
        <v>54</v>
      </c>
    </row>
    <row r="25" spans="1:10">
      <c r="A25" s="46" t="s">
        <v>205</v>
      </c>
      <c r="B25" s="32" t="s">
        <v>206</v>
      </c>
      <c r="C25" s="25" t="s">
        <v>14</v>
      </c>
      <c r="D25" s="25" t="s">
        <v>15</v>
      </c>
      <c r="E25" s="29">
        <f t="shared" si="2"/>
        <v>11161256</v>
      </c>
      <c r="F25" s="29">
        <v>1897413</v>
      </c>
      <c r="G25" s="29">
        <v>2567089</v>
      </c>
      <c r="H25" s="29">
        <v>2790314</v>
      </c>
      <c r="I25" s="29">
        <v>3906440</v>
      </c>
      <c r="J25" s="25" t="s">
        <v>34</v>
      </c>
    </row>
    <row r="26" spans="1:10">
      <c r="A26" s="46" t="s">
        <v>207</v>
      </c>
      <c r="B26" s="32" t="s">
        <v>208</v>
      </c>
      <c r="C26" s="25" t="s">
        <v>14</v>
      </c>
      <c r="D26" s="25" t="s">
        <v>15</v>
      </c>
      <c r="E26" s="29">
        <f t="shared" si="2"/>
        <v>1738254</v>
      </c>
      <c r="F26" s="29">
        <v>295503</v>
      </c>
      <c r="G26" s="29">
        <v>399798</v>
      </c>
      <c r="H26" s="29">
        <v>434564</v>
      </c>
      <c r="I26" s="29">
        <v>608389</v>
      </c>
      <c r="J26" s="25" t="s">
        <v>44</v>
      </c>
    </row>
    <row r="27" spans="1:10">
      <c r="A27" s="46" t="s">
        <v>209</v>
      </c>
      <c r="B27" s="32" t="s">
        <v>210</v>
      </c>
      <c r="C27" s="25" t="s">
        <v>14</v>
      </c>
      <c r="D27" s="25" t="s">
        <v>15</v>
      </c>
      <c r="E27" s="29">
        <f t="shared" si="2"/>
        <v>200083</v>
      </c>
      <c r="F27" s="29">
        <v>34014</v>
      </c>
      <c r="G27" s="29">
        <v>46019</v>
      </c>
      <c r="H27" s="29">
        <v>50021</v>
      </c>
      <c r="I27" s="29">
        <v>70029</v>
      </c>
      <c r="J27" s="25" t="s">
        <v>18</v>
      </c>
    </row>
    <row r="28" spans="1:10">
      <c r="A28" s="50" t="s">
        <v>211</v>
      </c>
      <c r="B28" s="41" t="s">
        <v>210</v>
      </c>
      <c r="C28" s="41" t="s">
        <v>14</v>
      </c>
      <c r="D28" s="41" t="s">
        <v>171</v>
      </c>
      <c r="E28" s="40">
        <f t="shared" si="2"/>
        <v>140058</v>
      </c>
      <c r="F28" s="42">
        <v>23810</v>
      </c>
      <c r="G28" s="42">
        <v>32213</v>
      </c>
      <c r="H28" s="42">
        <v>35015</v>
      </c>
      <c r="I28" s="42">
        <v>49020</v>
      </c>
      <c r="J28" s="41" t="s">
        <v>18</v>
      </c>
    </row>
    <row r="29" spans="1:10">
      <c r="A29" s="50" t="s">
        <v>211</v>
      </c>
      <c r="B29" s="41" t="s">
        <v>210</v>
      </c>
      <c r="C29" s="41" t="s">
        <v>14</v>
      </c>
      <c r="D29" s="41" t="s">
        <v>173</v>
      </c>
      <c r="E29" s="40">
        <f t="shared" si="2"/>
        <v>60025</v>
      </c>
      <c r="F29" s="42">
        <v>10204</v>
      </c>
      <c r="G29" s="42">
        <v>13806</v>
      </c>
      <c r="H29" s="42">
        <v>15006</v>
      </c>
      <c r="I29" s="42">
        <v>21009</v>
      </c>
      <c r="J29" s="41" t="s">
        <v>18</v>
      </c>
    </row>
    <row r="30" spans="1:10">
      <c r="A30" s="46" t="s">
        <v>212</v>
      </c>
      <c r="B30" s="32" t="s">
        <v>213</v>
      </c>
      <c r="C30" s="25" t="s">
        <v>14</v>
      </c>
      <c r="D30" s="25" t="s">
        <v>171</v>
      </c>
      <c r="E30" s="29">
        <f t="shared" si="2"/>
        <v>1127588</v>
      </c>
      <c r="F30" s="29">
        <v>191690</v>
      </c>
      <c r="G30" s="29">
        <v>259345</v>
      </c>
      <c r="H30" s="29">
        <v>281897</v>
      </c>
      <c r="I30" s="29">
        <v>394656</v>
      </c>
      <c r="J30" s="25" t="s">
        <v>21</v>
      </c>
    </row>
    <row r="31" spans="1:10">
      <c r="A31" s="50" t="s">
        <v>214</v>
      </c>
      <c r="B31" s="41" t="s">
        <v>213</v>
      </c>
      <c r="C31" s="41" t="s">
        <v>14</v>
      </c>
      <c r="D31" s="41" t="s">
        <v>173</v>
      </c>
      <c r="E31" s="40">
        <f t="shared" si="2"/>
        <v>125288</v>
      </c>
      <c r="F31" s="42">
        <v>21299</v>
      </c>
      <c r="G31" s="42">
        <v>28816</v>
      </c>
      <c r="H31" s="42">
        <v>31322</v>
      </c>
      <c r="I31" s="42">
        <v>43851</v>
      </c>
      <c r="J31" s="41" t="s">
        <v>21</v>
      </c>
    </row>
    <row r="32" spans="1:10">
      <c r="A32" s="46" t="s">
        <v>215</v>
      </c>
      <c r="B32" s="25" t="s">
        <v>216</v>
      </c>
      <c r="C32" s="25" t="s">
        <v>14</v>
      </c>
      <c r="D32" s="25" t="s">
        <v>217</v>
      </c>
      <c r="E32" s="29">
        <f t="shared" si="2"/>
        <v>388299</v>
      </c>
      <c r="F32" s="29">
        <v>66011</v>
      </c>
      <c r="G32" s="29">
        <v>89309</v>
      </c>
      <c r="H32" s="29">
        <v>97075</v>
      </c>
      <c r="I32" s="29">
        <v>135904</v>
      </c>
      <c r="J32" s="25" t="s">
        <v>21</v>
      </c>
    </row>
    <row r="33" spans="1:10">
      <c r="A33" s="46" t="s">
        <v>218</v>
      </c>
      <c r="B33" s="43" t="s">
        <v>219</v>
      </c>
      <c r="C33" s="25" t="s">
        <v>14</v>
      </c>
      <c r="D33" s="25" t="s">
        <v>217</v>
      </c>
      <c r="E33" s="29">
        <f t="shared" si="2"/>
        <v>246648</v>
      </c>
      <c r="F33" s="29">
        <v>41930</v>
      </c>
      <c r="G33" s="29">
        <v>56729</v>
      </c>
      <c r="H33" s="29">
        <v>61662</v>
      </c>
      <c r="I33" s="29">
        <v>86327</v>
      </c>
      <c r="J33" s="25" t="s">
        <v>18</v>
      </c>
    </row>
    <row r="34" spans="1:10">
      <c r="A34" s="46" t="s">
        <v>220</v>
      </c>
      <c r="B34" s="43" t="s">
        <v>221</v>
      </c>
      <c r="C34" s="25" t="s">
        <v>14</v>
      </c>
      <c r="D34" s="25" t="s">
        <v>217</v>
      </c>
      <c r="E34" s="29">
        <f t="shared" si="2"/>
        <v>401428</v>
      </c>
      <c r="F34" s="29">
        <v>68243</v>
      </c>
      <c r="G34" s="29">
        <v>92328</v>
      </c>
      <c r="H34" s="29">
        <v>100357</v>
      </c>
      <c r="I34" s="29">
        <v>140500</v>
      </c>
      <c r="J34" s="25" t="s">
        <v>38</v>
      </c>
    </row>
    <row r="35" spans="1:10">
      <c r="A35" s="46" t="s">
        <v>222</v>
      </c>
      <c r="B35" s="43" t="s">
        <v>223</v>
      </c>
      <c r="C35" s="25" t="s">
        <v>14</v>
      </c>
      <c r="D35" s="25" t="s">
        <v>217</v>
      </c>
      <c r="E35" s="29">
        <f t="shared" si="2"/>
        <v>848065</v>
      </c>
      <c r="F35" s="29">
        <v>144171</v>
      </c>
      <c r="G35" s="29">
        <v>195055</v>
      </c>
      <c r="H35" s="29">
        <v>212016</v>
      </c>
      <c r="I35" s="29">
        <v>296823</v>
      </c>
      <c r="J35" s="25" t="s">
        <v>47</v>
      </c>
    </row>
    <row r="36" spans="1:10" ht="51">
      <c r="A36" s="51" t="s">
        <v>224</v>
      </c>
      <c r="B36" s="25" t="s">
        <v>225</v>
      </c>
      <c r="C36" s="25" t="s">
        <v>14</v>
      </c>
      <c r="D36" s="25" t="s">
        <v>217</v>
      </c>
      <c r="E36" s="29">
        <f t="shared" si="2"/>
        <v>1260223</v>
      </c>
      <c r="F36" s="29">
        <v>214238</v>
      </c>
      <c r="G36" s="29">
        <v>289851</v>
      </c>
      <c r="H36" s="29">
        <v>315056</v>
      </c>
      <c r="I36" s="29">
        <v>441078</v>
      </c>
      <c r="J36" s="25" t="s">
        <v>34</v>
      </c>
    </row>
    <row r="37" spans="1:10">
      <c r="A37" s="46" t="s">
        <v>226</v>
      </c>
      <c r="B37" t="s">
        <v>227</v>
      </c>
      <c r="C37" s="25" t="s">
        <v>14</v>
      </c>
      <c r="D37" s="25" t="s">
        <v>186</v>
      </c>
      <c r="E37" s="29">
        <f t="shared" si="2"/>
        <v>445060</v>
      </c>
      <c r="F37" s="29">
        <v>75664</v>
      </c>
      <c r="G37" s="29">
        <v>102368</v>
      </c>
      <c r="H37" s="29">
        <v>111270</v>
      </c>
      <c r="I37" s="29">
        <v>155758</v>
      </c>
      <c r="J37" s="25" t="s">
        <v>47</v>
      </c>
    </row>
    <row r="38" spans="1:10" ht="23.1">
      <c r="A38" s="54" t="s">
        <v>228</v>
      </c>
      <c r="B38" t="s">
        <v>229</v>
      </c>
      <c r="C38" s="25" t="s">
        <v>14</v>
      </c>
      <c r="D38" s="25" t="s">
        <v>230</v>
      </c>
      <c r="E38" s="29">
        <v>4438798</v>
      </c>
      <c r="F38" s="29">
        <v>754596</v>
      </c>
      <c r="G38" s="29">
        <v>1020923</v>
      </c>
      <c r="H38" s="29">
        <v>1109699</v>
      </c>
      <c r="I38" s="29">
        <v>1553579</v>
      </c>
      <c r="J38" s="25" t="s">
        <v>24</v>
      </c>
    </row>
    <row r="39" spans="1:10">
      <c r="A39" s="55" t="s">
        <v>231</v>
      </c>
      <c r="B39" t="s">
        <v>232</v>
      </c>
      <c r="C39" s="25" t="s">
        <v>14</v>
      </c>
      <c r="D39" s="25" t="s">
        <v>233</v>
      </c>
      <c r="E39" s="29">
        <f>1051891 * 60%</f>
        <v>631134.6</v>
      </c>
      <c r="F39" s="29">
        <f>178821*60%</f>
        <v>107292.59999999999</v>
      </c>
      <c r="G39" s="29">
        <f>241935*60%</f>
        <v>145161</v>
      </c>
      <c r="H39" s="29">
        <f>262973*60%</f>
        <v>157783.79999999999</v>
      </c>
      <c r="I39" s="29">
        <f>368162*60%</f>
        <v>220897.19999999998</v>
      </c>
      <c r="J39" s="25" t="s">
        <v>47</v>
      </c>
    </row>
    <row r="40" spans="1:10" s="35" customFormat="1">
      <c r="A40" s="56" t="s">
        <v>231</v>
      </c>
      <c r="B40" s="52" t="s">
        <v>232</v>
      </c>
      <c r="C40" s="35" t="s">
        <v>14</v>
      </c>
      <c r="D40" s="35" t="s">
        <v>217</v>
      </c>
      <c r="E40" s="36">
        <f>1051891 * 40%</f>
        <v>420756.4</v>
      </c>
      <c r="F40" s="36">
        <f>178821*40%</f>
        <v>71528.400000000009</v>
      </c>
      <c r="G40" s="36">
        <f>241935*40%</f>
        <v>96774</v>
      </c>
      <c r="H40" s="36">
        <f>262973*40%</f>
        <v>105189.20000000001</v>
      </c>
      <c r="I40" s="36">
        <f>368162*40%</f>
        <v>147264.80000000002</v>
      </c>
    </row>
    <row r="41" spans="1:10">
      <c r="A41" s="55" t="s">
        <v>234</v>
      </c>
      <c r="B41" t="s">
        <v>235</v>
      </c>
      <c r="C41" s="25" t="s">
        <v>14</v>
      </c>
      <c r="D41" s="25" t="s">
        <v>230</v>
      </c>
      <c r="E41" s="29">
        <v>1235463</v>
      </c>
      <c r="F41" s="29">
        <v>210029</v>
      </c>
      <c r="G41" s="29">
        <v>284156</v>
      </c>
      <c r="H41" s="29">
        <v>308866</v>
      </c>
      <c r="I41" s="29">
        <v>432412</v>
      </c>
      <c r="J41" s="25" t="s">
        <v>50</v>
      </c>
    </row>
    <row r="42" spans="1:10">
      <c r="A42" s="55" t="s">
        <v>236</v>
      </c>
      <c r="B42" s="27" t="s">
        <v>237</v>
      </c>
      <c r="C42" s="25" t="s">
        <v>14</v>
      </c>
      <c r="D42" s="25" t="s">
        <v>184</v>
      </c>
      <c r="E42" s="29">
        <v>1051891</v>
      </c>
      <c r="F42" s="29">
        <v>178821</v>
      </c>
      <c r="G42" s="29">
        <v>241935</v>
      </c>
      <c r="H42" s="29">
        <v>262973</v>
      </c>
      <c r="I42" s="29">
        <v>368162</v>
      </c>
      <c r="J42" s="25" t="s">
        <v>54</v>
      </c>
    </row>
    <row r="43" spans="1:10">
      <c r="A43" s="46" t="s">
        <v>238</v>
      </c>
      <c r="B43" t="s">
        <v>239</v>
      </c>
      <c r="C43" s="25" t="s">
        <v>14</v>
      </c>
      <c r="D43" s="25" t="s">
        <v>184</v>
      </c>
      <c r="E43" s="29">
        <v>543822</v>
      </c>
      <c r="F43" s="29">
        <v>92450</v>
      </c>
      <c r="G43" s="29">
        <v>125079</v>
      </c>
      <c r="H43" s="29">
        <v>135955</v>
      </c>
      <c r="I43" s="29">
        <v>190338</v>
      </c>
      <c r="J43" s="25" t="s">
        <v>18</v>
      </c>
    </row>
    <row r="44" spans="1:10">
      <c r="A44" s="55" t="s">
        <v>240</v>
      </c>
      <c r="B44" s="30" t="s">
        <v>241</v>
      </c>
      <c r="C44" s="25" t="s">
        <v>14</v>
      </c>
      <c r="D44" s="25" t="s">
        <v>171</v>
      </c>
      <c r="E44" s="66">
        <v>321521</v>
      </c>
      <c r="F44" s="66">
        <v>54659</v>
      </c>
      <c r="G44" s="67">
        <v>73950</v>
      </c>
      <c r="H44" s="66">
        <v>80380</v>
      </c>
      <c r="I44" s="66">
        <v>112532</v>
      </c>
      <c r="J44" s="25" t="s">
        <v>242</v>
      </c>
    </row>
    <row r="45" spans="1:10" s="34" customFormat="1">
      <c r="A45" s="70" t="s">
        <v>240</v>
      </c>
      <c r="B45" s="68" t="s">
        <v>241</v>
      </c>
      <c r="C45" s="34" t="s">
        <v>27</v>
      </c>
      <c r="D45" s="34" t="s">
        <v>118</v>
      </c>
      <c r="E45" s="69">
        <v>321521</v>
      </c>
      <c r="F45" s="69">
        <v>54659</v>
      </c>
      <c r="G45" s="69">
        <v>73950</v>
      </c>
      <c r="H45" s="69">
        <v>80380</v>
      </c>
      <c r="I45" s="69">
        <v>112532</v>
      </c>
      <c r="J45" s="34" t="s">
        <v>242</v>
      </c>
    </row>
    <row r="46" spans="1:10">
      <c r="B46" s="27"/>
      <c r="E46" s="29"/>
      <c r="F46" s="29"/>
      <c r="G46" s="29"/>
      <c r="H46" s="29"/>
      <c r="I46" s="29"/>
    </row>
    <row r="47" spans="1:10">
      <c r="F47" s="29"/>
      <c r="G47" s="29"/>
      <c r="H47" s="29"/>
      <c r="I47" s="29"/>
    </row>
    <row r="48" spans="1:10">
      <c r="B48" s="30"/>
      <c r="F48" s="29"/>
      <c r="G48" s="29"/>
      <c r="H48" s="29"/>
      <c r="I48" s="29"/>
    </row>
    <row r="49" spans="1:9">
      <c r="E49" s="29"/>
      <c r="F49" s="29"/>
      <c r="G49" s="29"/>
      <c r="H49" s="29"/>
      <c r="I49" s="29"/>
    </row>
    <row r="50" spans="1:9">
      <c r="B50" s="27"/>
      <c r="F50" s="29"/>
      <c r="G50" s="29"/>
      <c r="H50" s="29"/>
      <c r="I50" s="29"/>
    </row>
    <row r="51" spans="1:9">
      <c r="E51" s="64"/>
      <c r="F51" s="29"/>
      <c r="G51" s="29"/>
      <c r="H51" s="29"/>
      <c r="I51" s="29"/>
    </row>
    <row r="52" spans="1:9">
      <c r="B52" s="27"/>
      <c r="E52" s="64"/>
      <c r="F52" s="29"/>
      <c r="G52" s="29"/>
      <c r="H52" s="29"/>
      <c r="I52" s="29"/>
    </row>
    <row r="53" spans="1:9">
      <c r="E53" s="64"/>
      <c r="F53" s="29"/>
      <c r="G53" s="29"/>
      <c r="H53" s="29"/>
      <c r="I53" s="29"/>
    </row>
    <row r="54" spans="1:9">
      <c r="B54" s="27"/>
      <c r="E54" s="64"/>
      <c r="F54" s="29"/>
      <c r="G54" s="29"/>
      <c r="H54" s="29"/>
      <c r="I54" s="29"/>
    </row>
    <row r="55" spans="1:9">
      <c r="E55" s="64"/>
    </row>
    <row r="56" spans="1:9">
      <c r="E56" s="64"/>
    </row>
    <row r="57" spans="1:9">
      <c r="B57" s="27"/>
      <c r="E57" s="64"/>
      <c r="F57" s="29"/>
      <c r="G57" s="29"/>
      <c r="H57" s="29"/>
      <c r="I57" s="29"/>
    </row>
    <row r="58" spans="1:9">
      <c r="B58" s="27"/>
      <c r="E58" s="64"/>
      <c r="F58" s="29"/>
      <c r="G58" s="29"/>
      <c r="H58" s="29"/>
      <c r="I58" s="29"/>
    </row>
    <row r="59" spans="1:9">
      <c r="E59" s="64"/>
      <c r="F59" s="29"/>
      <c r="G59" s="29"/>
      <c r="H59" s="29"/>
      <c r="I59" s="29"/>
    </row>
    <row r="60" spans="1:9">
      <c r="E60" s="64"/>
      <c r="F60" s="29"/>
      <c r="G60" s="29"/>
      <c r="H60" s="29"/>
      <c r="I60" s="29"/>
    </row>
    <row r="61" spans="1:9">
      <c r="F61" s="29"/>
      <c r="G61" s="29"/>
      <c r="H61" s="29"/>
      <c r="I61" s="29"/>
    </row>
    <row r="62" spans="1:9">
      <c r="E62" s="64"/>
      <c r="F62" s="29"/>
      <c r="G62" s="29"/>
      <c r="H62" s="29"/>
      <c r="I62" s="29"/>
    </row>
    <row r="63" spans="1:9">
      <c r="B63" s="27"/>
      <c r="F63" s="29"/>
      <c r="G63" s="29"/>
      <c r="H63" s="29"/>
      <c r="I63" s="29"/>
    </row>
    <row r="64" spans="1:9">
      <c r="A64" s="31"/>
      <c r="B64" s="26"/>
      <c r="E64" s="65"/>
    </row>
  </sheetData>
  <autoFilter ref="A2:J43" xr:uid="{53307D47-8875-4602-80DC-B7A7E6B966D7}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70AE8EAA-0AD6-4260-8D7F-7BDE59956333}">
          <x14:formula1>
            <xm:f>'Options for KPI UT Levels'!$A$2:$A$47</xm:f>
          </x14:formula1>
          <xm:sqref>I1 C3:C64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4397CF-7494-B442-8514-014FBE85F445}">
  <dimension ref="A1:L44"/>
  <sheetViews>
    <sheetView tabSelected="1" workbookViewId="0">
      <selection activeCell="A26" sqref="A26"/>
    </sheetView>
  </sheetViews>
  <sheetFormatPr defaultColWidth="11" defaultRowHeight="15.95"/>
  <cols>
    <col min="1" max="1" width="41.25" customWidth="1"/>
    <col min="3" max="3" width="23.25" customWidth="1"/>
    <col min="4" max="4" width="20" customWidth="1"/>
    <col min="5" max="5" width="15" customWidth="1"/>
    <col min="6" max="6" width="15" bestFit="1" customWidth="1"/>
    <col min="7" max="9" width="14" bestFit="1" customWidth="1"/>
  </cols>
  <sheetData>
    <row r="1" spans="1:12" ht="21.95">
      <c r="A1" s="24" t="s">
        <v>243</v>
      </c>
      <c r="B1" s="24"/>
      <c r="C1" s="24"/>
      <c r="D1" s="24"/>
      <c r="E1" s="24"/>
      <c r="F1" s="24"/>
      <c r="G1" s="24"/>
      <c r="H1" s="24"/>
      <c r="I1" s="24"/>
      <c r="J1" s="24"/>
      <c r="K1" s="24"/>
    </row>
    <row r="2" spans="1:12">
      <c r="A2" s="26" t="s">
        <v>1</v>
      </c>
      <c r="B2" s="26" t="s">
        <v>2</v>
      </c>
      <c r="C2" s="26" t="s">
        <v>3</v>
      </c>
      <c r="D2" s="26" t="s">
        <v>4</v>
      </c>
      <c r="E2" s="26" t="s">
        <v>5</v>
      </c>
      <c r="F2" s="26" t="s">
        <v>6</v>
      </c>
      <c r="G2" s="26" t="s">
        <v>7</v>
      </c>
      <c r="H2" s="26" t="s">
        <v>8</v>
      </c>
      <c r="I2" s="26" t="s">
        <v>9</v>
      </c>
      <c r="J2" s="26" t="s">
        <v>10</v>
      </c>
      <c r="K2" s="26" t="s">
        <v>11</v>
      </c>
    </row>
    <row r="3" spans="1:12">
      <c r="A3" s="20" t="s">
        <v>244</v>
      </c>
      <c r="B3" s="15" t="s">
        <v>245</v>
      </c>
      <c r="C3" s="5" t="s">
        <v>14</v>
      </c>
      <c r="D3" s="5" t="s">
        <v>186</v>
      </c>
      <c r="E3" s="87">
        <v>583426</v>
      </c>
      <c r="F3" s="87">
        <v>99182</v>
      </c>
      <c r="G3" s="87">
        <v>134188</v>
      </c>
      <c r="H3" s="87">
        <v>145856</v>
      </c>
      <c r="I3" s="87">
        <v>204199</v>
      </c>
      <c r="J3" s="5" t="s">
        <v>18</v>
      </c>
      <c r="K3" s="5"/>
      <c r="L3" s="5"/>
    </row>
    <row r="4" spans="1:12">
      <c r="A4" s="20" t="s">
        <v>246</v>
      </c>
      <c r="B4" s="15" t="s">
        <v>247</v>
      </c>
      <c r="C4" s="5" t="s">
        <v>14</v>
      </c>
      <c r="D4" s="5" t="s">
        <v>186</v>
      </c>
      <c r="E4" s="87">
        <v>403877</v>
      </c>
      <c r="F4" s="87">
        <v>68659</v>
      </c>
      <c r="G4" s="87">
        <v>92892</v>
      </c>
      <c r="H4" s="87">
        <v>100969</v>
      </c>
      <c r="I4" s="87">
        <v>141357</v>
      </c>
      <c r="J4" s="5" t="s">
        <v>18</v>
      </c>
      <c r="K4" s="5"/>
      <c r="L4" s="5"/>
    </row>
    <row r="5" spans="1:12">
      <c r="A5" t="s">
        <v>248</v>
      </c>
      <c r="C5" s="5" t="s">
        <v>14</v>
      </c>
      <c r="D5" s="5" t="s">
        <v>249</v>
      </c>
      <c r="E5" s="87">
        <v>7340117</v>
      </c>
      <c r="F5" s="87">
        <v>1247820</v>
      </c>
      <c r="G5" s="87">
        <v>1688277</v>
      </c>
      <c r="H5" s="87">
        <v>1835029</v>
      </c>
      <c r="I5" s="87">
        <v>2569041</v>
      </c>
      <c r="J5" s="5" t="s">
        <v>34</v>
      </c>
      <c r="K5" s="5"/>
    </row>
    <row r="6" spans="1:12">
      <c r="A6" s="52" t="s">
        <v>248</v>
      </c>
      <c r="B6" s="52"/>
      <c r="C6" s="53" t="s">
        <v>27</v>
      </c>
      <c r="D6" s="53" t="s">
        <v>250</v>
      </c>
      <c r="E6" s="88">
        <v>3145765</v>
      </c>
      <c r="F6" s="88">
        <v>534780</v>
      </c>
      <c r="G6" s="88">
        <v>723526</v>
      </c>
      <c r="H6" s="88">
        <v>786441</v>
      </c>
      <c r="I6" s="88">
        <v>1101018</v>
      </c>
      <c r="J6" s="53"/>
      <c r="K6" s="53"/>
    </row>
    <row r="7" spans="1:12" s="25" customFormat="1" ht="23.1">
      <c r="A7" s="54" t="s">
        <v>251</v>
      </c>
      <c r="B7" s="27" t="s">
        <v>252</v>
      </c>
      <c r="C7" s="25" t="s">
        <v>14</v>
      </c>
      <c r="D7" s="25" t="s">
        <v>230</v>
      </c>
      <c r="E7" s="85">
        <v>5767937</v>
      </c>
      <c r="F7" s="85">
        <v>980549</v>
      </c>
      <c r="G7" s="85">
        <v>1326626</v>
      </c>
      <c r="H7" s="85">
        <v>1441984</v>
      </c>
      <c r="I7" s="85">
        <v>2018778</v>
      </c>
      <c r="J7" s="25" t="s">
        <v>47</v>
      </c>
    </row>
    <row r="8" spans="1:12" s="25" customFormat="1" ht="23.1">
      <c r="A8" s="54" t="s">
        <v>253</v>
      </c>
      <c r="B8" s="27" t="s">
        <v>254</v>
      </c>
      <c r="C8" s="25" t="s">
        <v>14</v>
      </c>
      <c r="D8" s="25" t="s">
        <v>230</v>
      </c>
      <c r="E8" s="85">
        <f>SUM(F8:I8)</f>
        <v>1252876</v>
      </c>
      <c r="F8" s="85">
        <f>191690+21299</f>
        <v>212989</v>
      </c>
      <c r="G8" s="85">
        <f>259345+28816</f>
        <v>288161</v>
      </c>
      <c r="H8" s="85">
        <f>281897+31322</f>
        <v>313219</v>
      </c>
      <c r="I8" s="85">
        <f>394656+43851</f>
        <v>438507</v>
      </c>
      <c r="J8" s="25" t="s">
        <v>24</v>
      </c>
    </row>
    <row r="9" spans="1:12" s="25" customFormat="1" ht="23.1">
      <c r="A9" s="54" t="s">
        <v>255</v>
      </c>
      <c r="B9" s="27" t="s">
        <v>256</v>
      </c>
      <c r="C9" s="25" t="s">
        <v>14</v>
      </c>
      <c r="D9" s="25" t="s">
        <v>230</v>
      </c>
      <c r="E9" s="85">
        <v>6083504</v>
      </c>
      <c r="F9" s="85">
        <v>1034196</v>
      </c>
      <c r="G9" s="85">
        <v>1399206</v>
      </c>
      <c r="H9" s="85">
        <v>1520876</v>
      </c>
      <c r="I9" s="85">
        <v>2129226</v>
      </c>
      <c r="J9" s="25" t="s">
        <v>21</v>
      </c>
    </row>
    <row r="10" spans="1:12" ht="23.1">
      <c r="A10" s="54" t="s">
        <v>257</v>
      </c>
      <c r="B10" t="s">
        <v>258</v>
      </c>
      <c r="C10" s="5" t="s">
        <v>14</v>
      </c>
      <c r="D10" s="5" t="s">
        <v>259</v>
      </c>
      <c r="E10" s="89">
        <v>1617123</v>
      </c>
      <c r="F10" s="89">
        <v>274911</v>
      </c>
      <c r="G10" s="89">
        <v>371938</v>
      </c>
      <c r="H10" s="89">
        <v>404281</v>
      </c>
      <c r="I10" s="89">
        <v>565993</v>
      </c>
      <c r="J10" t="s">
        <v>38</v>
      </c>
    </row>
    <row r="11" spans="1:12">
      <c r="A11" s="56" t="s">
        <v>257</v>
      </c>
      <c r="B11" s="52" t="s">
        <v>258</v>
      </c>
      <c r="C11" s="53" t="s">
        <v>27</v>
      </c>
      <c r="D11" s="53" t="s">
        <v>260</v>
      </c>
      <c r="E11" s="90">
        <v>3773286</v>
      </c>
      <c r="F11" s="90">
        <v>641459</v>
      </c>
      <c r="G11" s="90">
        <v>867856</v>
      </c>
      <c r="H11" s="90">
        <v>943321</v>
      </c>
      <c r="I11" s="90">
        <v>1320650</v>
      </c>
    </row>
    <row r="12" spans="1:12" ht="23.1">
      <c r="A12" s="54" t="s">
        <v>261</v>
      </c>
      <c r="B12" t="s">
        <v>262</v>
      </c>
      <c r="C12" t="s">
        <v>14</v>
      </c>
      <c r="D12" t="s">
        <v>263</v>
      </c>
      <c r="E12" s="57">
        <v>9556363.3000000007</v>
      </c>
      <c r="F12" s="57">
        <v>1624581.7500000002</v>
      </c>
      <c r="G12" s="57">
        <v>2197964.4500000002</v>
      </c>
      <c r="H12" s="57">
        <v>2389090.5500000003</v>
      </c>
      <c r="I12" s="57">
        <v>3344726.5500000003</v>
      </c>
      <c r="J12" t="s">
        <v>24</v>
      </c>
    </row>
    <row r="13" spans="1:12">
      <c r="A13" s="56" t="s">
        <v>261</v>
      </c>
      <c r="B13" s="52" t="s">
        <v>262</v>
      </c>
      <c r="C13" s="52" t="s">
        <v>14</v>
      </c>
      <c r="D13" s="52" t="s">
        <v>264</v>
      </c>
      <c r="E13" s="58">
        <v>2606280.9</v>
      </c>
      <c r="F13" s="58">
        <v>443067.75</v>
      </c>
      <c r="G13" s="58">
        <v>599444.85</v>
      </c>
      <c r="H13" s="58">
        <v>651570.15</v>
      </c>
      <c r="I13" s="58">
        <v>912198.15</v>
      </c>
    </row>
    <row r="14" spans="1:12">
      <c r="A14" s="56" t="s">
        <v>261</v>
      </c>
      <c r="B14" s="52" t="s">
        <v>262</v>
      </c>
      <c r="C14" s="52" t="s">
        <v>14</v>
      </c>
      <c r="D14" s="52" t="s">
        <v>265</v>
      </c>
      <c r="E14" s="58">
        <v>2606280.9</v>
      </c>
      <c r="F14" s="58">
        <v>443067.75</v>
      </c>
      <c r="G14" s="58">
        <v>599444.85</v>
      </c>
      <c r="H14" s="58">
        <v>651570.15</v>
      </c>
      <c r="I14" s="58">
        <v>912198.15</v>
      </c>
    </row>
    <row r="15" spans="1:12">
      <c r="A15" s="56" t="s">
        <v>261</v>
      </c>
      <c r="B15" s="52" t="s">
        <v>262</v>
      </c>
      <c r="C15" s="52" t="s">
        <v>14</v>
      </c>
      <c r="D15" s="52" t="s">
        <v>266</v>
      </c>
      <c r="E15" s="58">
        <v>2606280.9</v>
      </c>
      <c r="F15" s="58">
        <v>443067.75</v>
      </c>
      <c r="G15" s="58">
        <v>599444.85</v>
      </c>
      <c r="H15" s="58">
        <v>651570.15</v>
      </c>
      <c r="I15" s="58">
        <v>912198.15</v>
      </c>
    </row>
    <row r="16" spans="1:12" ht="23.1">
      <c r="A16" s="54" t="s">
        <v>267</v>
      </c>
      <c r="B16" t="s">
        <v>268</v>
      </c>
      <c r="C16" s="25" t="s">
        <v>14</v>
      </c>
      <c r="D16" s="25" t="s">
        <v>269</v>
      </c>
      <c r="E16" s="57">
        <v>4828232.3999999994</v>
      </c>
      <c r="F16" s="57">
        <v>820799.4</v>
      </c>
      <c r="G16" s="57">
        <v>1110493.2</v>
      </c>
      <c r="H16" s="57">
        <v>1207058.3999999999</v>
      </c>
      <c r="I16" s="57">
        <v>1689881.4</v>
      </c>
      <c r="J16" t="s">
        <v>47</v>
      </c>
    </row>
    <row r="17" spans="1:12">
      <c r="A17" s="56" t="s">
        <v>270</v>
      </c>
      <c r="B17" t="s">
        <v>268</v>
      </c>
      <c r="C17" s="35" t="s">
        <v>14</v>
      </c>
      <c r="D17" s="35" t="s">
        <v>97</v>
      </c>
      <c r="E17" s="58">
        <v>1609410.8</v>
      </c>
      <c r="F17" s="58">
        <v>273599.8</v>
      </c>
      <c r="G17" s="58">
        <v>370164.4</v>
      </c>
      <c r="H17" s="58">
        <v>402352.80000000005</v>
      </c>
      <c r="I17" s="58">
        <v>563293.80000000005</v>
      </c>
    </row>
    <row r="18" spans="1:12">
      <c r="A18" s="56" t="s">
        <v>270</v>
      </c>
      <c r="B18" t="s">
        <v>268</v>
      </c>
      <c r="C18" s="35" t="s">
        <v>14</v>
      </c>
      <c r="D18" s="35" t="s">
        <v>271</v>
      </c>
      <c r="E18" s="58">
        <v>1609410.8</v>
      </c>
      <c r="F18" s="58">
        <v>273599.8</v>
      </c>
      <c r="G18" s="58">
        <v>370164.4</v>
      </c>
      <c r="H18" s="58">
        <v>402352.80000000005</v>
      </c>
      <c r="I18" s="58">
        <v>563293.80000000005</v>
      </c>
    </row>
    <row r="19" spans="1:12" ht="23.1">
      <c r="A19" s="54" t="s">
        <v>272</v>
      </c>
      <c r="B19" t="s">
        <v>273</v>
      </c>
      <c r="C19" s="25" t="s">
        <v>14</v>
      </c>
      <c r="D19" s="25" t="s">
        <v>274</v>
      </c>
      <c r="E19" s="85">
        <f t="shared" ref="E19:E20" si="0">SUM(F19:I19)</f>
        <v>1193293</v>
      </c>
      <c r="F19" s="86">
        <f>202860</f>
        <v>202860</v>
      </c>
      <c r="G19" s="86">
        <f>274457</f>
        <v>274457</v>
      </c>
      <c r="H19" s="86">
        <f>298323</f>
        <v>298323</v>
      </c>
      <c r="I19" s="86">
        <f>417653</f>
        <v>417653</v>
      </c>
      <c r="J19" s="25" t="s">
        <v>24</v>
      </c>
    </row>
    <row r="20" spans="1:12">
      <c r="A20" s="71" t="s">
        <v>275</v>
      </c>
      <c r="B20" t="s">
        <v>273</v>
      </c>
      <c r="C20" s="35" t="s">
        <v>14</v>
      </c>
      <c r="D20" s="35" t="s">
        <v>276</v>
      </c>
      <c r="E20" s="36">
        <f t="shared" si="0"/>
        <v>132588</v>
      </c>
      <c r="F20" s="36">
        <v>22540</v>
      </c>
      <c r="G20" s="36">
        <v>30495</v>
      </c>
      <c r="H20" s="36">
        <v>33147</v>
      </c>
      <c r="I20" s="36">
        <v>46406</v>
      </c>
      <c r="J20" s="35"/>
    </row>
    <row r="21" spans="1:12" s="25" customFormat="1">
      <c r="A21" s="46" t="s">
        <v>277</v>
      </c>
      <c r="B21" s="32" t="s">
        <v>278</v>
      </c>
      <c r="C21" s="25" t="s">
        <v>14</v>
      </c>
      <c r="D21" s="25" t="s">
        <v>279</v>
      </c>
      <c r="E21" s="57">
        <v>2532422.9</v>
      </c>
      <c r="F21" s="57">
        <v>430511.89999999997</v>
      </c>
      <c r="G21" s="57">
        <v>582457.39999999991</v>
      </c>
      <c r="H21" s="57">
        <v>633105.89999999991</v>
      </c>
      <c r="I21" s="57">
        <v>886347.7</v>
      </c>
      <c r="J21" s="25" t="s">
        <v>44</v>
      </c>
    </row>
    <row r="22" spans="1:12" s="25" customFormat="1">
      <c r="A22" s="47" t="s">
        <v>277</v>
      </c>
      <c r="B22" s="34" t="s">
        <v>278</v>
      </c>
      <c r="C22" s="34" t="s">
        <v>14</v>
      </c>
      <c r="D22" s="34" t="s">
        <v>280</v>
      </c>
      <c r="E22" s="59">
        <v>1085324.0999999999</v>
      </c>
      <c r="F22" s="59">
        <v>184505.1</v>
      </c>
      <c r="G22" s="59">
        <v>249624.59999999998</v>
      </c>
      <c r="H22" s="59">
        <v>271331.09999999998</v>
      </c>
      <c r="I22" s="59">
        <v>379863.3</v>
      </c>
      <c r="J22" s="25" t="s">
        <v>44</v>
      </c>
    </row>
    <row r="23" spans="1:12" s="5" customFormat="1">
      <c r="A23" s="62" t="s">
        <v>281</v>
      </c>
      <c r="B23" s="19"/>
      <c r="C23" s="62" t="s">
        <v>14</v>
      </c>
      <c r="D23" s="62" t="s">
        <v>279</v>
      </c>
      <c r="E23" s="63">
        <v>362070.1</v>
      </c>
      <c r="F23" s="63">
        <v>61551.7</v>
      </c>
      <c r="G23" s="63">
        <v>83276.2</v>
      </c>
      <c r="H23" s="63">
        <v>90517.7</v>
      </c>
      <c r="I23" s="63">
        <v>126724.49999999999</v>
      </c>
    </row>
    <row r="24" spans="1:12">
      <c r="A24" s="60" t="s">
        <v>281</v>
      </c>
      <c r="B24" s="61"/>
      <c r="C24" s="60" t="s">
        <v>14</v>
      </c>
      <c r="D24" s="60" t="s">
        <v>280</v>
      </c>
      <c r="E24" s="59">
        <v>155172.9</v>
      </c>
      <c r="F24" s="59">
        <v>26379.3</v>
      </c>
      <c r="G24" s="59">
        <v>35689.799999999996</v>
      </c>
      <c r="H24" s="59">
        <v>38793.299999999996</v>
      </c>
      <c r="I24" s="59">
        <v>54310.5</v>
      </c>
    </row>
    <row r="25" spans="1:12" ht="15.75">
      <c r="A25" s="55" t="s">
        <v>282</v>
      </c>
      <c r="B25" t="s">
        <v>283</v>
      </c>
      <c r="C25" t="s">
        <v>14</v>
      </c>
      <c r="D25" t="s">
        <v>284</v>
      </c>
      <c r="E25" s="79">
        <f>SUM(F25:I25)</f>
        <v>1632053</v>
      </c>
      <c r="F25" s="79">
        <v>277449</v>
      </c>
      <c r="G25" s="80">
        <v>375372</v>
      </c>
      <c r="H25" s="80">
        <v>408013</v>
      </c>
      <c r="I25" s="80">
        <v>571219</v>
      </c>
    </row>
    <row r="26" spans="1:12" ht="15.75">
      <c r="A26" s="72" t="s">
        <v>285</v>
      </c>
      <c r="B26" s="73"/>
      <c r="C26" s="74" t="s">
        <v>14</v>
      </c>
      <c r="D26" s="74" t="s">
        <v>37</v>
      </c>
      <c r="E26" s="79">
        <f>SUM(F26:I26)</f>
        <v>1880672</v>
      </c>
      <c r="F26" s="75">
        <v>319714</v>
      </c>
      <c r="G26" s="75">
        <v>432555</v>
      </c>
      <c r="H26" s="75">
        <v>470168</v>
      </c>
      <c r="I26" s="75">
        <v>658235</v>
      </c>
      <c r="J26" s="72"/>
      <c r="K26" s="72"/>
    </row>
    <row r="27" spans="1:12" ht="15.75">
      <c r="A27" s="72" t="s">
        <v>286</v>
      </c>
      <c r="B27" s="72"/>
      <c r="C27" s="74" t="s">
        <v>14</v>
      </c>
      <c r="D27" s="74" t="s">
        <v>259</v>
      </c>
      <c r="E27" s="79">
        <f>SUM(F27:I27)</f>
        <v>1587793</v>
      </c>
      <c r="F27" s="76">
        <v>269925</v>
      </c>
      <c r="G27" s="76">
        <v>365192</v>
      </c>
      <c r="H27" s="76">
        <v>396948</v>
      </c>
      <c r="I27" s="76">
        <v>555728</v>
      </c>
      <c r="J27" s="72"/>
      <c r="K27" s="72"/>
      <c r="L27" s="72"/>
    </row>
    <row r="28" spans="1:12" ht="15.75">
      <c r="A28" s="72" t="s">
        <v>287</v>
      </c>
      <c r="B28" s="72"/>
      <c r="C28" s="74" t="s">
        <v>14</v>
      </c>
      <c r="D28" s="74" t="s">
        <v>288</v>
      </c>
      <c r="E28" s="79">
        <f t="shared" ref="E26:E43" si="1">SUM(F28:I28)</f>
        <v>281940</v>
      </c>
      <c r="F28" s="76">
        <v>47930</v>
      </c>
      <c r="G28" s="76">
        <v>64846</v>
      </c>
      <c r="H28" s="76">
        <v>70485</v>
      </c>
      <c r="I28" s="76">
        <v>98679</v>
      </c>
      <c r="J28" s="72"/>
      <c r="K28" s="72"/>
    </row>
    <row r="29" spans="1:12" ht="15.75">
      <c r="A29" s="77" t="s">
        <v>287</v>
      </c>
      <c r="B29" s="77"/>
      <c r="C29" s="77" t="s">
        <v>14</v>
      </c>
      <c r="D29" s="77" t="s">
        <v>289</v>
      </c>
      <c r="E29" s="79">
        <f t="shared" si="1"/>
        <v>1127756</v>
      </c>
      <c r="F29" s="78">
        <v>191719</v>
      </c>
      <c r="G29" s="78">
        <v>259384</v>
      </c>
      <c r="H29" s="78">
        <v>281939</v>
      </c>
      <c r="I29" s="78">
        <v>394714</v>
      </c>
      <c r="J29" s="77"/>
      <c r="K29" s="77"/>
    </row>
    <row r="30" spans="1:12" ht="15.75">
      <c r="A30" s="94" t="s">
        <v>290</v>
      </c>
      <c r="B30" s="74" t="s">
        <v>291</v>
      </c>
      <c r="C30" s="74" t="s">
        <v>14</v>
      </c>
      <c r="D30" s="74" t="s">
        <v>37</v>
      </c>
      <c r="E30" s="79">
        <f t="shared" si="1"/>
        <v>1842900</v>
      </c>
      <c r="F30" s="75">
        <v>313293</v>
      </c>
      <c r="G30" s="75">
        <v>423867</v>
      </c>
      <c r="H30" s="75">
        <v>460725</v>
      </c>
      <c r="I30" s="75">
        <v>645015</v>
      </c>
      <c r="J30" s="74"/>
      <c r="K30" s="74"/>
    </row>
    <row r="31" spans="1:12" ht="15.75">
      <c r="A31" s="95" t="s">
        <v>292</v>
      </c>
      <c r="B31" s="72" t="s">
        <v>293</v>
      </c>
      <c r="C31" s="74" t="s">
        <v>14</v>
      </c>
      <c r="D31" s="74" t="s">
        <v>284</v>
      </c>
      <c r="E31" s="79">
        <f t="shared" si="1"/>
        <v>7943991</v>
      </c>
      <c r="F31" s="76">
        <v>1350478</v>
      </c>
      <c r="G31" s="76">
        <v>1827118</v>
      </c>
      <c r="H31" s="76">
        <v>1985998</v>
      </c>
      <c r="I31" s="76">
        <v>2780397</v>
      </c>
      <c r="J31" s="72"/>
      <c r="K31" s="72"/>
    </row>
    <row r="32" spans="1:12" ht="15.75">
      <c r="A32" s="72" t="s">
        <v>294</v>
      </c>
      <c r="B32" s="72"/>
      <c r="C32" s="74" t="s">
        <v>14</v>
      </c>
      <c r="D32" s="74" t="s">
        <v>279</v>
      </c>
      <c r="E32" s="79">
        <f>SUM(F32:I32)</f>
        <v>1490826.4</v>
      </c>
      <c r="F32" s="76">
        <v>253440.6</v>
      </c>
      <c r="G32" s="76">
        <v>342890.1</v>
      </c>
      <c r="H32" s="76">
        <v>372706.6</v>
      </c>
      <c r="I32" s="76">
        <v>521789.1</v>
      </c>
      <c r="J32" s="72"/>
      <c r="K32" s="72"/>
    </row>
    <row r="33" spans="1:12" ht="15.75">
      <c r="A33" s="77" t="s">
        <v>294</v>
      </c>
      <c r="B33" s="77"/>
      <c r="C33" s="77" t="s">
        <v>14</v>
      </c>
      <c r="D33" s="77" t="s">
        <v>280</v>
      </c>
      <c r="E33" s="79">
        <f t="shared" si="1"/>
        <v>638925.6</v>
      </c>
      <c r="F33" s="78">
        <v>108617.4</v>
      </c>
      <c r="G33" s="78">
        <v>146952.9</v>
      </c>
      <c r="H33" s="78">
        <v>159731.4</v>
      </c>
      <c r="I33" s="78">
        <v>223623.9</v>
      </c>
      <c r="J33" s="77"/>
      <c r="K33" s="77"/>
    </row>
    <row r="34" spans="1:12" ht="15.75">
      <c r="A34" s="72" t="s">
        <v>295</v>
      </c>
      <c r="B34" s="72"/>
      <c r="C34" s="74" t="s">
        <v>14</v>
      </c>
      <c r="D34" s="74" t="s">
        <v>37</v>
      </c>
      <c r="E34" s="79">
        <f t="shared" si="1"/>
        <v>7807822</v>
      </c>
      <c r="F34" s="76">
        <v>1327330</v>
      </c>
      <c r="G34" s="76">
        <v>1795799</v>
      </c>
      <c r="H34" s="76">
        <v>1951955</v>
      </c>
      <c r="I34" s="76">
        <v>2732738</v>
      </c>
      <c r="J34" s="72"/>
      <c r="K34" s="72"/>
    </row>
    <row r="35" spans="1:12" ht="15.75">
      <c r="A35" s="72" t="s">
        <v>296</v>
      </c>
      <c r="B35" s="72"/>
      <c r="C35" s="74" t="s">
        <v>14</v>
      </c>
      <c r="D35" s="74" t="s">
        <v>284</v>
      </c>
      <c r="E35" s="79">
        <f t="shared" si="1"/>
        <v>15238248</v>
      </c>
      <c r="F35" s="76">
        <v>2504482</v>
      </c>
      <c r="G35" s="76">
        <v>3888417</v>
      </c>
      <c r="H35" s="76">
        <v>3683062</v>
      </c>
      <c r="I35" s="76">
        <v>5162287</v>
      </c>
      <c r="J35" s="72"/>
      <c r="K35" s="72"/>
    </row>
    <row r="36" spans="1:12" ht="15.75">
      <c r="A36" s="72" t="s">
        <v>297</v>
      </c>
      <c r="B36" s="72"/>
      <c r="C36" s="74" t="s">
        <v>14</v>
      </c>
      <c r="D36" s="74" t="s">
        <v>298</v>
      </c>
      <c r="E36" s="79">
        <f t="shared" si="1"/>
        <v>804250.8</v>
      </c>
      <c r="F36" s="76">
        <v>136722.79999999999</v>
      </c>
      <c r="G36" s="76">
        <v>184977.6</v>
      </c>
      <c r="H36" s="76">
        <v>201062.8</v>
      </c>
      <c r="I36" s="76">
        <v>281487.59999999998</v>
      </c>
      <c r="J36" s="72"/>
      <c r="K36" s="72"/>
    </row>
    <row r="37" spans="1:12" ht="15.75">
      <c r="A37" s="77" t="s">
        <v>297</v>
      </c>
      <c r="B37" s="77"/>
      <c r="C37" s="77" t="s">
        <v>14</v>
      </c>
      <c r="D37" s="77" t="s">
        <v>269</v>
      </c>
      <c r="E37" s="79">
        <f t="shared" si="1"/>
        <v>1206376.2000000002</v>
      </c>
      <c r="F37" s="78">
        <v>205084.2</v>
      </c>
      <c r="G37" s="78">
        <v>277466.40000000002</v>
      </c>
      <c r="H37" s="78">
        <v>301594.2</v>
      </c>
      <c r="I37" s="78">
        <v>422231.4</v>
      </c>
      <c r="J37" s="77"/>
      <c r="K37" s="77"/>
      <c r="L37" s="77"/>
    </row>
    <row r="38" spans="1:12" ht="15.75">
      <c r="A38" s="72" t="s">
        <v>299</v>
      </c>
      <c r="B38" s="72"/>
      <c r="C38" s="74" t="s">
        <v>14</v>
      </c>
      <c r="D38" s="74" t="s">
        <v>300</v>
      </c>
      <c r="E38" s="79">
        <f t="shared" si="1"/>
        <v>2787023.1999999997</v>
      </c>
      <c r="F38" s="76">
        <v>473793.6</v>
      </c>
      <c r="G38" s="76">
        <v>641015.19999999995</v>
      </c>
      <c r="H38" s="76">
        <v>696756</v>
      </c>
      <c r="I38" s="76">
        <v>975458.4</v>
      </c>
      <c r="J38" s="72"/>
      <c r="K38" s="72"/>
    </row>
    <row r="39" spans="1:12" ht="15.75">
      <c r="A39" s="77" t="s">
        <v>299</v>
      </c>
      <c r="B39" s="77"/>
      <c r="C39" s="77" t="s">
        <v>14</v>
      </c>
      <c r="D39" s="77" t="s">
        <v>301</v>
      </c>
      <c r="E39" s="79">
        <f t="shared" si="1"/>
        <v>696755.79999999993</v>
      </c>
      <c r="F39" s="76">
        <v>118448.4</v>
      </c>
      <c r="G39" s="76">
        <v>160253.79999999999</v>
      </c>
      <c r="H39" s="76">
        <v>174189</v>
      </c>
      <c r="I39" s="76">
        <v>243864.6</v>
      </c>
      <c r="J39" s="77"/>
      <c r="K39" s="77"/>
    </row>
    <row r="40" spans="1:12" ht="15.75">
      <c r="A40" s="72" t="s">
        <v>302</v>
      </c>
      <c r="B40" s="72"/>
      <c r="C40" s="74" t="s">
        <v>14</v>
      </c>
      <c r="D40" s="74" t="s">
        <v>284</v>
      </c>
      <c r="E40" s="79">
        <f t="shared" si="1"/>
        <v>386106</v>
      </c>
      <c r="F40" s="76">
        <v>65638</v>
      </c>
      <c r="G40" s="76">
        <v>88804</v>
      </c>
      <c r="H40" s="76">
        <v>96527</v>
      </c>
      <c r="I40" s="76">
        <v>135137</v>
      </c>
      <c r="J40" s="72"/>
      <c r="K40" s="72"/>
    </row>
    <row r="41" spans="1:12" ht="15.75">
      <c r="A41" s="95" t="s">
        <v>303</v>
      </c>
      <c r="B41" s="72" t="s">
        <v>304</v>
      </c>
      <c r="C41" s="74" t="s">
        <v>14</v>
      </c>
      <c r="D41" s="74" t="s">
        <v>37</v>
      </c>
      <c r="E41" s="79">
        <f t="shared" si="1"/>
        <v>1168960</v>
      </c>
      <c r="F41" s="76">
        <v>198723</v>
      </c>
      <c r="G41" s="76">
        <v>268861</v>
      </c>
      <c r="H41" s="76">
        <v>292240</v>
      </c>
      <c r="I41" s="76">
        <v>409136</v>
      </c>
      <c r="J41" s="72"/>
      <c r="K41" s="72"/>
    </row>
    <row r="42" spans="1:12" ht="15.75">
      <c r="A42" s="72" t="s">
        <v>305</v>
      </c>
      <c r="B42" s="72"/>
      <c r="C42" s="74" t="s">
        <v>14</v>
      </c>
      <c r="D42" s="74" t="s">
        <v>284</v>
      </c>
      <c r="E42" s="79">
        <f t="shared" si="1"/>
        <v>3997321</v>
      </c>
      <c r="F42" s="76">
        <v>679545</v>
      </c>
      <c r="G42" s="76">
        <v>919384</v>
      </c>
      <c r="H42" s="76">
        <v>999330</v>
      </c>
      <c r="I42" s="76">
        <v>1399062</v>
      </c>
      <c r="J42" s="72"/>
      <c r="K42" s="72"/>
    </row>
    <row r="43" spans="1:12" ht="15.75">
      <c r="A43" s="72" t="s">
        <v>306</v>
      </c>
      <c r="B43" s="72"/>
      <c r="C43" s="74" t="s">
        <v>14</v>
      </c>
      <c r="D43" s="74" t="s">
        <v>37</v>
      </c>
      <c r="E43" s="79">
        <f t="shared" si="1"/>
        <v>1886988</v>
      </c>
      <c r="F43" s="76">
        <v>320788</v>
      </c>
      <c r="G43" s="76">
        <v>434007</v>
      </c>
      <c r="H43" s="76">
        <v>471747</v>
      </c>
      <c r="I43" s="76">
        <v>660446</v>
      </c>
      <c r="J43" s="72"/>
      <c r="K43" s="72"/>
    </row>
    <row r="44" spans="1:12" ht="15.75">
      <c r="A44" s="72" t="s">
        <v>307</v>
      </c>
      <c r="B44" s="72"/>
      <c r="C44" s="74" t="s">
        <v>14</v>
      </c>
      <c r="D44" s="74" t="s">
        <v>308</v>
      </c>
      <c r="E44" s="84">
        <f>SUM(F44:I44)</f>
        <v>388299</v>
      </c>
      <c r="F44" s="82">
        <v>66011</v>
      </c>
      <c r="G44" s="83">
        <v>89309</v>
      </c>
      <c r="H44" s="83">
        <v>97075</v>
      </c>
      <c r="I44" s="83">
        <v>135904</v>
      </c>
      <c r="J44" s="72"/>
      <c r="K44" s="72"/>
      <c r="L44" s="72"/>
    </row>
  </sheetData>
  <autoFilter ref="A2:K24" xr:uid="{804397CF-7494-B442-8514-014FBE85F445}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924D742F-8FF3-7647-9A61-02801E56A6FC}">
          <x14:formula1>
            <xm:f>'Options for KPI UT Levels'!$A$2:$A$47</xm:f>
          </x14:formula1>
          <xm:sqref>C7:C9 C21:C24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224621-F791-44F9-897F-0622B3EC471B}">
  <dimension ref="A1:E5"/>
  <sheetViews>
    <sheetView workbookViewId="0">
      <selection activeCell="D7" sqref="D7"/>
    </sheetView>
  </sheetViews>
  <sheetFormatPr defaultColWidth="8.875" defaultRowHeight="15.95"/>
  <cols>
    <col min="1" max="1" width="24.875" customWidth="1"/>
  </cols>
  <sheetData>
    <row r="1" spans="1:5">
      <c r="A1" s="8"/>
      <c r="B1" s="93" t="s">
        <v>309</v>
      </c>
      <c r="C1" s="93"/>
      <c r="D1" s="93"/>
      <c r="E1" s="93"/>
    </row>
    <row r="2" spans="1:5">
      <c r="A2" s="9"/>
      <c r="B2" s="10" t="s">
        <v>6</v>
      </c>
      <c r="C2" s="10" t="s">
        <v>310</v>
      </c>
      <c r="D2" s="10" t="s">
        <v>8</v>
      </c>
      <c r="E2" s="10" t="s">
        <v>9</v>
      </c>
    </row>
    <row r="3" spans="1:5">
      <c r="A3" s="11" t="s">
        <v>311</v>
      </c>
      <c r="B3" s="12">
        <v>0.17</v>
      </c>
      <c r="C3" s="12">
        <v>0.23</v>
      </c>
      <c r="D3" s="12">
        <v>0.25</v>
      </c>
      <c r="E3" s="12">
        <v>0.35</v>
      </c>
    </row>
    <row r="4" spans="1:5">
      <c r="A4" s="11" t="s">
        <v>312</v>
      </c>
      <c r="B4" s="12">
        <v>0.1</v>
      </c>
      <c r="C4" s="12">
        <v>0.21</v>
      </c>
      <c r="D4" s="12">
        <v>0.3</v>
      </c>
      <c r="E4" s="12">
        <v>0.39</v>
      </c>
    </row>
    <row r="5" spans="1:5">
      <c r="A5" s="11" t="s">
        <v>313</v>
      </c>
      <c r="B5" s="12">
        <v>0.05</v>
      </c>
      <c r="C5" s="12">
        <v>0.15</v>
      </c>
      <c r="D5" s="12">
        <v>0.2</v>
      </c>
      <c r="E5" s="12">
        <v>0.6</v>
      </c>
    </row>
  </sheetData>
  <mergeCells count="1">
    <mergeCell ref="B1:E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e0232e1f-123a-43d1-921b-7c05729cf17c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94C29C17E9AEA4CB48B504ECDD326F6" ma:contentTypeVersion="13" ma:contentTypeDescription="Create a new document." ma:contentTypeScope="" ma:versionID="bbcee55541c60a67ae91fde6cd5b9535">
  <xsd:schema xmlns:xsd="http://www.w3.org/2001/XMLSchema" xmlns:xs="http://www.w3.org/2001/XMLSchema" xmlns:p="http://schemas.microsoft.com/office/2006/metadata/properties" xmlns:ns3="e0232e1f-123a-43d1-921b-7c05729cf17c" targetNamespace="http://schemas.microsoft.com/office/2006/metadata/properties" ma:root="true" ma:fieldsID="a4621de01236b0f54131317d0d7f10a2" ns3:_="">
    <xsd:import namespace="e0232e1f-123a-43d1-921b-7c05729cf17c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SearchProperties" minOccurs="0"/>
                <xsd:element ref="ns3:_activity" minOccurs="0"/>
                <xsd:element ref="ns3:MediaServiceDateTaken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OCR" minOccurs="0"/>
                <xsd:element ref="ns3:MediaServiceLocation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0232e1f-123a-43d1-921b-7c05729cf17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D8C4767-4D22-45B1-BCBF-E6BA997C4D9A}"/>
</file>

<file path=customXml/itemProps2.xml><?xml version="1.0" encoding="utf-8"?>
<ds:datastoreItem xmlns:ds="http://schemas.openxmlformats.org/officeDocument/2006/customXml" ds:itemID="{56308CB8-6F41-47A1-A7FA-F6896EEA67B8}"/>
</file>

<file path=customXml/itemProps3.xml><?xml version="1.0" encoding="utf-8"?>
<ds:datastoreItem xmlns:ds="http://schemas.openxmlformats.org/officeDocument/2006/customXml" ds:itemID="{72985BAC-01DD-4D79-81D2-7D306B72EA0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MELANIE ERK</dc:creator>
  <cp:keywords/>
  <dc:description/>
  <cp:lastModifiedBy>MEGAN JOHNSON</cp:lastModifiedBy>
  <cp:revision/>
  <dcterms:created xsi:type="dcterms:W3CDTF">2026-02-19T16:21:33Z</dcterms:created>
  <dcterms:modified xsi:type="dcterms:W3CDTF">2026-07-29T19:19:34Z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0x010100F94C29C17E9AEA4CB48B504ECDD326F6</vt:lpwstr>
  </property>
</Properties>
</file>