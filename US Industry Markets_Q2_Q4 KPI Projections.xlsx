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/Users/rubycimmarusti/Library/Application Support/Box/Box Edit/Documents/2145515427988/"/>
    </mc:Choice>
  </mc:AlternateContent>
  <xr:revisionPtr revIDLastSave="17" documentId="13_ncr:1_{5A612C55-E8A5-714A-81AB-9B3CD238C5BE}" xr6:coauthVersionLast="47" xr6:coauthVersionMax="47" xr10:uidLastSave="{32175B11-37D3-44D0-8D58-0A247F4A9200}"/>
  <bookViews>
    <workbookView xWindow="11920" yWindow="500" windowWidth="16800" windowHeight="13220" xr2:uid="{34DAB5B8-0534-154D-B765-6F9AFE0242E3}"/>
  </bookViews>
  <sheets>
    <sheet name="Q2 Projections" sheetId="2" r:id="rId1"/>
    <sheet name="Q3 Projections" sheetId="4" r:id="rId2"/>
    <sheet name="Q4 Projections" sheetId="5" r:id="rId3"/>
    <sheet name="Options for KPI UT Levels" sheetId="1" r:id="rId4"/>
    <sheet name="Sheet1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I19" i="2"/>
  <c r="I6" i="5"/>
  <c r="I4" i="5"/>
  <c r="I3" i="5"/>
  <c r="I8" i="4"/>
  <c r="I7" i="4"/>
  <c r="I14" i="2"/>
  <c r="I4" i="2"/>
  <c r="I5" i="2"/>
  <c r="I6" i="2"/>
  <c r="I8" i="2"/>
  <c r="I9" i="2"/>
  <c r="I10" i="2"/>
  <c r="I11" i="2"/>
  <c r="I12" i="2"/>
  <c r="I13" i="2"/>
</calcChain>
</file>

<file path=xl/sharedStrings.xml><?xml version="1.0" encoding="utf-8"?>
<sst xmlns="http://schemas.openxmlformats.org/spreadsheetml/2006/main" count="187" uniqueCount="119">
  <si>
    <t>US Industry Market Q2 KPI Projections</t>
  </si>
  <si>
    <t>Event name</t>
  </si>
  <si>
    <t>Brief</t>
  </si>
  <si>
    <t>UT 15</t>
  </si>
  <si>
    <t>UT 17</t>
  </si>
  <si>
    <t>CQ</t>
  </si>
  <si>
    <t>NQ</t>
  </si>
  <si>
    <t>NQ+1</t>
  </si>
  <si>
    <t>NQ+2</t>
  </si>
  <si>
    <t>Total</t>
  </si>
  <si>
    <t>2Q26 PIE Senior Data, AI, and Analytics Leaders Exchange</t>
  </si>
  <si>
    <t>736HUZMB</t>
  </si>
  <si>
    <t>Data Platform</t>
  </si>
  <si>
    <t>AI Productivity</t>
  </si>
  <si>
    <t>SAE WCX 2026</t>
  </si>
  <si>
    <t>CLXLAQMB</t>
  </si>
  <si>
    <t>Toyota &amp; IBM Quantum Summit</t>
  </si>
  <si>
    <t>XR7VQXMB</t>
  </si>
  <si>
    <t>Quantum</t>
  </si>
  <si>
    <t>Quantum Market</t>
  </si>
  <si>
    <t xml:space="preserve">Verizon Quantum Summit </t>
  </si>
  <si>
    <t>RMPRH2MB</t>
  </si>
  <si>
    <t>2Q26 PIE Senior Data, AI, and Analytics Leaders - Think Surround - 24ppl (use CHRO PIE event from 2025)</t>
  </si>
  <si>
    <t>51BMMXMB</t>
  </si>
  <si>
    <t>Aviation Festival Americas - Global aviation festival october 2025, 50ppl</t>
  </si>
  <si>
    <t>L58OWMMB</t>
  </si>
  <si>
    <t>Strategy &amp; Technology</t>
  </si>
  <si>
    <t>Strategy &amp; Transformation</t>
  </si>
  <si>
    <t>NetworkX Americas 2026 - tbd, maybe try consulting event or just innovate - 100</t>
  </si>
  <si>
    <t>6ZVAZZMB</t>
  </si>
  <si>
    <t>Boeing Innovation Summit - use oma consulting summit - 25</t>
  </si>
  <si>
    <t>UF0L6FMB</t>
  </si>
  <si>
    <t xml:space="preserve">American Airlines UNconference 2026 - 50ppl, aviation festival or similar. one big opportunity coming from AA. bigger account </t>
  </si>
  <si>
    <t>LFBKHKMB</t>
  </si>
  <si>
    <t>Public Cloud Platform</t>
  </si>
  <si>
    <t>Public Cloud IaaS</t>
  </si>
  <si>
    <t>Center for Automotive Research (CAR) MBS Conference</t>
  </si>
  <si>
    <t>1O6BXTMB</t>
  </si>
  <si>
    <t>Automation Platform</t>
  </si>
  <si>
    <t>Application Operations</t>
  </si>
  <si>
    <t>Placeholder for Tech Event (spa or NBA)</t>
  </si>
  <si>
    <t>RY7T1KMB</t>
  </si>
  <si>
    <t>US Industry Market Q3 KPI Projections</t>
  </si>
  <si>
    <t>3Q26 PIE Senior Data, AI, and Analytics Leaders Exchange</t>
  </si>
  <si>
    <t>H1R8G6MB</t>
  </si>
  <si>
    <t>Worth Media FinOps Dinner</t>
  </si>
  <si>
    <t>EOA9KDMB</t>
  </si>
  <si>
    <t>Technology Business Management</t>
  </si>
  <si>
    <t xml:space="preserve">Consumer Leadership Exchange </t>
  </si>
  <si>
    <t>K0Y4LFMB</t>
  </si>
  <si>
    <t>MOVE AMERICA 2026</t>
  </si>
  <si>
    <t>BOFV0MMB</t>
  </si>
  <si>
    <t>3Q26 PIE + IBM - US Industry - In person event (apptio) - date tbc</t>
  </si>
  <si>
    <t>IP6AFUMB</t>
  </si>
  <si>
    <t>Center for Automotive Research (CAR) Digital Series</t>
  </si>
  <si>
    <t>GAPL6UMB</t>
  </si>
  <si>
    <t>US Industry Market Q4 KPI Projections</t>
  </si>
  <si>
    <t>Innovate Americas 2026</t>
  </si>
  <si>
    <t>GCNGZCMB</t>
  </si>
  <si>
    <t>Utility Analytics Week 2026</t>
  </si>
  <si>
    <t>L31X41MB</t>
  </si>
  <si>
    <t>Grocery Impact 2026 - TBD</t>
  </si>
  <si>
    <t>1954H7MB</t>
  </si>
  <si>
    <t>4Q26 PIE Senior Data, AI, and Analytics Leaders Exchange</t>
  </si>
  <si>
    <t>G6IAJ1MB</t>
  </si>
  <si>
    <t>Application Development &amp; Integration</t>
  </si>
  <si>
    <t>Infrastructure Automation</t>
  </si>
  <si>
    <t>Security Threat Management</t>
  </si>
  <si>
    <t>AI/ML Ops</t>
  </si>
  <si>
    <t>Data Fabric</t>
  </si>
  <si>
    <t>Intelligent Operations</t>
  </si>
  <si>
    <t>Business Operations</t>
  </si>
  <si>
    <t>Cybersecurity</t>
  </si>
  <si>
    <t>Power HW</t>
  </si>
  <si>
    <t>AIX / IBM i Market</t>
  </si>
  <si>
    <t>Cognitive Infrastructure Market</t>
  </si>
  <si>
    <t>Enterprise Linux Market</t>
  </si>
  <si>
    <t>Power TPS</t>
  </si>
  <si>
    <t>Power TPS Market</t>
  </si>
  <si>
    <t>Public Cloud Contracts</t>
  </si>
  <si>
    <t>Public Cloud PaaS</t>
  </si>
  <si>
    <t>Public Cloud TEL &amp; Support</t>
  </si>
  <si>
    <t>Business Applications</t>
  </si>
  <si>
    <t>Hybrid Cloud &amp; Data</t>
  </si>
  <si>
    <t>Storage HW</t>
  </si>
  <si>
    <t>Storage Networking Market</t>
  </si>
  <si>
    <t>Storage Operations / Services Market</t>
  </si>
  <si>
    <t>Storage Tape Market</t>
  </si>
  <si>
    <t>Storage for Data Resiliency Market</t>
  </si>
  <si>
    <t>Storage for Data and AI Market</t>
  </si>
  <si>
    <t>Storage for Hybrid Cloud Market</t>
  </si>
  <si>
    <t>Storage for Primary Block Market</t>
  </si>
  <si>
    <t>Traditional Distributed External Storage Market</t>
  </si>
  <si>
    <t>Storage TPS</t>
  </si>
  <si>
    <t>Storage Networking SW Market</t>
  </si>
  <si>
    <t>Storage Operations / Services SW Market</t>
  </si>
  <si>
    <t>Storage Tape SW Market</t>
  </si>
  <si>
    <t>Storage for Data Resiliency SW Market</t>
  </si>
  <si>
    <t>Storage for Data and AI SW Market</t>
  </si>
  <si>
    <t>Storage for Hybrid Cloud SW Market</t>
  </si>
  <si>
    <t>Storage for Primary Block SW Market</t>
  </si>
  <si>
    <t>Traditional Distributed External Storage SW Market</t>
  </si>
  <si>
    <t>Talent Management Solutions</t>
  </si>
  <si>
    <t>Cognitive Talent Management</t>
  </si>
  <si>
    <t>Technology Lifecycle Services</t>
  </si>
  <si>
    <t>IBM Systems Services</t>
  </si>
  <si>
    <t>Multivendor Services</t>
  </si>
  <si>
    <t>Z HW</t>
  </si>
  <si>
    <t>IBM Z and LinuxONE Hardware</t>
  </si>
  <si>
    <t>System Software HW</t>
  </si>
  <si>
    <t>Z TPS</t>
  </si>
  <si>
    <t>Z Application Development</t>
  </si>
  <si>
    <t>Z IT Operations Management</t>
  </si>
  <si>
    <t>zTPS Operations / Services Market</t>
  </si>
  <si>
    <t>2025 Landing Qtr Average</t>
  </si>
  <si>
    <t xml:space="preserve">NQ </t>
  </si>
  <si>
    <t>Software</t>
  </si>
  <si>
    <t>Infrastructure</t>
  </si>
  <si>
    <t>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</si>
</sst>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_([$$-409]* #,##0_);_([$$-409]* \(#,##0\);_([$$-409]* &quot;-&quot;??_);_(@_)"/>
    <numFmt numFmtId="165" formatCode="_(&quot;$&quot;* #,##0_);_(&quot;$&quot;* \(#,##0\);_(&quot;$&quot;* &quot;-&quot;??_);_(@_)"/>
  </numFmts>
  <fonts count="11">
    <font>
      <sz val="12"/>
      <color theme="1"/>
      <name val="Aptos Narrow"/>
      <family val="2"/>
      <scheme val="minor"/>
    </font>
    <font>
      <sz val="12"/>
      <color theme="1"/>
      <name val="IBM Plex Sans"/>
      <family val="2"/>
    </font>
    <font>
      <sz val="14"/>
      <color theme="1"/>
      <name val="IBM Plex Sans"/>
      <family val="2"/>
    </font>
    <font>
      <u/>
      <sz val="14"/>
      <color theme="1"/>
      <name val="IBM Plex Sans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Tahoma"/>
      <family val="2"/>
    </font>
    <font>
      <sz val="10"/>
      <color theme="0"/>
      <name val="Tahoma"/>
      <family val="2"/>
    </font>
    <font>
      <sz val="10"/>
      <color rgb="FF000000"/>
      <name val="Tahoma"/>
      <family val="2"/>
    </font>
    <font>
      <sz val="10"/>
      <color rgb="FF000000"/>
      <name val="Tahoma"/>
      <family val="2"/>
      <charset val="1"/>
    </font>
    <font>
      <sz val="12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2" xfId="0" applyBorder="1"/>
    <xf numFmtId="0" fontId="5" fillId="3" borderId="2" xfId="0" applyFont="1" applyFill="1" applyBorder="1"/>
    <xf numFmtId="0" fontId="4" fillId="0" borderId="2" xfId="0" applyFont="1" applyBorder="1"/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7" fillId="4" borderId="3" xfId="0" applyFont="1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9" fontId="0" fillId="5" borderId="0" xfId="0" applyNumberFormat="1" applyFill="1"/>
    <xf numFmtId="6" fontId="9" fillId="0" borderId="0" xfId="0" applyNumberFormat="1" applyFont="1"/>
    <xf numFmtId="6" fontId="9" fillId="0" borderId="4" xfId="0" applyNumberFormat="1" applyFont="1" applyBorder="1"/>
    <xf numFmtId="6" fontId="8" fillId="0" borderId="4" xfId="0" applyNumberFormat="1" applyFont="1" applyBorder="1"/>
    <xf numFmtId="0" fontId="0" fillId="0" borderId="5" xfId="0" applyBorder="1"/>
    <xf numFmtId="0" fontId="4" fillId="0" borderId="7" xfId="0" applyFont="1" applyBorder="1"/>
    <xf numFmtId="0" fontId="0" fillId="0" borderId="8" xfId="0" applyBorder="1"/>
    <xf numFmtId="6" fontId="9" fillId="0" borderId="9" xfId="0" applyNumberFormat="1" applyFont="1" applyBorder="1"/>
    <xf numFmtId="6" fontId="0" fillId="0" borderId="6" xfId="0" applyNumberFormat="1" applyBorder="1"/>
    <xf numFmtId="0" fontId="9" fillId="0" borderId="0" xfId="0" applyFont="1"/>
    <xf numFmtId="0" fontId="10" fillId="0" borderId="2" xfId="0" applyFont="1" applyBorder="1"/>
    <xf numFmtId="0" fontId="10" fillId="0" borderId="6" xfId="0" applyFont="1" applyBorder="1"/>
    <xf numFmtId="0" fontId="10" fillId="0" borderId="10" xfId="0" applyFont="1" applyBorder="1"/>
    <xf numFmtId="6" fontId="10" fillId="0" borderId="4" xfId="0" applyNumberFormat="1" applyFont="1" applyBorder="1"/>
    <xf numFmtId="6" fontId="0" fillId="0" borderId="4" xfId="0" applyNumberFormat="1" applyBorder="1"/>
    <xf numFmtId="6" fontId="9" fillId="0" borderId="11" xfId="0" applyNumberFormat="1" applyFont="1" applyBorder="1"/>
    <xf numFmtId="6" fontId="0" fillId="0" borderId="12" xfId="0" applyNumberFormat="1" applyBorder="1"/>
    <xf numFmtId="164" fontId="0" fillId="0" borderId="0" xfId="0" applyNumberFormat="1"/>
    <xf numFmtId="0" fontId="9" fillId="0" borderId="0" xfId="0" applyFont="1" applyAlignment="1">
      <alignment horizontal="left"/>
    </xf>
    <xf numFmtId="165" fontId="9" fillId="0" borderId="0" xfId="0" applyNumberFormat="1" applyFont="1" applyAlignment="1">
      <alignment horizontal="right"/>
    </xf>
    <xf numFmtId="0" fontId="0" fillId="6" borderId="0" xfId="0" applyFill="1"/>
    <xf numFmtId="0" fontId="0" fillId="6" borderId="2" xfId="0" applyFill="1" applyBorder="1"/>
    <xf numFmtId="0" fontId="10" fillId="6" borderId="6" xfId="0" applyFont="1" applyFill="1" applyBorder="1"/>
    <xf numFmtId="6" fontId="8" fillId="0" borderId="0" xfId="0" applyNumberFormat="1" applyFont="1"/>
    <xf numFmtId="0" fontId="2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6" fontId="9" fillId="0" borderId="9" xfId="0" applyNumberFormat="1" applyFont="1" applyBorder="1" applyAlignment="1">
      <alignment horizontal="center" vertical="center"/>
    </xf>
    <xf numFmtId="6" fontId="0" fillId="0" borderId="6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9637-199A-4342-94B6-656FD616A422}">
  <sheetPr>
    <tabColor rgb="FF92D050"/>
  </sheetPr>
  <dimension ref="A1:I19"/>
  <sheetViews>
    <sheetView tabSelected="1" topLeftCell="B1" workbookViewId="0">
      <selection activeCell="I11" sqref="I11"/>
    </sheetView>
  </sheetViews>
  <sheetFormatPr defaultColWidth="8.625" defaultRowHeight="15.95"/>
  <cols>
    <col min="1" max="1" width="49.5" style="5" customWidth="1"/>
    <col min="2" max="2" width="19.375" style="5" customWidth="1"/>
    <col min="3" max="4" width="24.5" style="5" customWidth="1"/>
    <col min="5" max="8" width="18.125" style="5" customWidth="1"/>
    <col min="9" max="9" width="20.125" style="5" customWidth="1"/>
    <col min="10" max="16384" width="8.625" style="5"/>
  </cols>
  <sheetData>
    <row r="1" spans="1:9" s="6" customFormat="1" ht="21.95">
      <c r="A1" s="6" t="s">
        <v>0</v>
      </c>
    </row>
    <row r="2" spans="1:9" s="7" customFormat="1">
      <c r="A2" s="7" t="s">
        <v>1</v>
      </c>
      <c r="B2" s="7" t="s">
        <v>2</v>
      </c>
      <c r="C2" s="7" t="s">
        <v>3</v>
      </c>
      <c r="D2" s="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7" t="s">
        <v>9</v>
      </c>
    </row>
    <row r="4" spans="1:9">
      <c r="A4" s="5" t="s">
        <v>10</v>
      </c>
      <c r="B4" s="5" t="s">
        <v>11</v>
      </c>
      <c r="C4" s="5" t="s">
        <v>12</v>
      </c>
      <c r="D4" s="16" t="s">
        <v>13</v>
      </c>
      <c r="E4" s="14">
        <v>67235</v>
      </c>
      <c r="F4" s="14">
        <v>90966</v>
      </c>
      <c r="G4" s="14">
        <v>98876</v>
      </c>
      <c r="H4" s="14">
        <v>138426</v>
      </c>
      <c r="I4" s="20">
        <f t="shared" ref="I4:I14" si="0">SUM(E4:H4)</f>
        <v>395503</v>
      </c>
    </row>
    <row r="5" spans="1:9">
      <c r="A5" s="5" t="s">
        <v>14</v>
      </c>
      <c r="B5" s="5" t="s">
        <v>15</v>
      </c>
      <c r="C5" s="5" t="s">
        <v>12</v>
      </c>
      <c r="D5" s="16" t="s">
        <v>13</v>
      </c>
      <c r="E5" s="15">
        <v>75796</v>
      </c>
      <c r="F5" s="15">
        <v>102547</v>
      </c>
      <c r="G5" s="15">
        <v>111465</v>
      </c>
      <c r="H5" s="15">
        <v>156050</v>
      </c>
      <c r="I5" s="20">
        <f t="shared" si="0"/>
        <v>445858</v>
      </c>
    </row>
    <row r="6" spans="1:9">
      <c r="A6" s="5" t="s">
        <v>16</v>
      </c>
      <c r="B6" s="5" t="s">
        <v>17</v>
      </c>
      <c r="C6" s="5" t="s">
        <v>18</v>
      </c>
      <c r="D6" s="16" t="s">
        <v>19</v>
      </c>
      <c r="E6" s="14">
        <v>5946</v>
      </c>
      <c r="F6" s="14">
        <v>12486</v>
      </c>
      <c r="G6" s="14">
        <v>17837</v>
      </c>
      <c r="H6" s="14">
        <v>23188</v>
      </c>
      <c r="I6" s="20">
        <f t="shared" si="0"/>
        <v>59457</v>
      </c>
    </row>
    <row r="7" spans="1:9">
      <c r="A7" s="5" t="s">
        <v>20</v>
      </c>
      <c r="B7" s="5" t="s">
        <v>21</v>
      </c>
      <c r="C7" s="5" t="s">
        <v>18</v>
      </c>
      <c r="D7" s="16" t="s">
        <v>19</v>
      </c>
      <c r="E7" s="14">
        <v>34325</v>
      </c>
      <c r="F7" s="14">
        <v>72083</v>
      </c>
      <c r="G7" s="14">
        <v>102976</v>
      </c>
      <c r="H7" s="14">
        <v>133869</v>
      </c>
      <c r="I7" s="20">
        <f>SUM(E7:H7)</f>
        <v>343253</v>
      </c>
    </row>
    <row r="8" spans="1:9">
      <c r="A8" s="5" t="s">
        <v>22</v>
      </c>
      <c r="B8" s="5" t="s">
        <v>23</v>
      </c>
      <c r="C8" s="5" t="s">
        <v>12</v>
      </c>
      <c r="D8" s="16" t="s">
        <v>13</v>
      </c>
      <c r="E8" s="19">
        <v>76629</v>
      </c>
      <c r="F8" s="19">
        <v>103675</v>
      </c>
      <c r="G8" s="19">
        <v>112690</v>
      </c>
      <c r="H8" s="19">
        <v>157767</v>
      </c>
      <c r="I8" s="20">
        <f t="shared" si="0"/>
        <v>450761</v>
      </c>
    </row>
    <row r="9" spans="1:9">
      <c r="A9" s="5" t="s">
        <v>24</v>
      </c>
      <c r="B9" s="5" t="s">
        <v>25</v>
      </c>
      <c r="C9" s="5" t="s">
        <v>26</v>
      </c>
      <c r="D9" s="16" t="s">
        <v>27</v>
      </c>
      <c r="E9" s="14">
        <v>6369</v>
      </c>
      <c r="F9" s="14">
        <v>19108</v>
      </c>
      <c r="G9" s="14">
        <v>25478</v>
      </c>
      <c r="H9" s="14">
        <v>76433</v>
      </c>
      <c r="I9" s="20">
        <f t="shared" si="0"/>
        <v>127388</v>
      </c>
    </row>
    <row r="10" spans="1:9">
      <c r="A10" s="5" t="s">
        <v>28</v>
      </c>
      <c r="B10" s="5" t="s">
        <v>29</v>
      </c>
      <c r="C10" s="5" t="s">
        <v>26</v>
      </c>
      <c r="D10" s="16" t="s">
        <v>27</v>
      </c>
      <c r="E10" s="14">
        <v>231419</v>
      </c>
      <c r="F10" s="14">
        <v>694258</v>
      </c>
      <c r="G10" s="14">
        <v>925678</v>
      </c>
      <c r="H10" s="14">
        <v>2777034</v>
      </c>
      <c r="I10" s="20">
        <f t="shared" si="0"/>
        <v>4628389</v>
      </c>
    </row>
    <row r="11" spans="1:9">
      <c r="A11" s="5" t="s">
        <v>30</v>
      </c>
      <c r="B11" s="5" t="s">
        <v>31</v>
      </c>
      <c r="C11" s="5" t="s">
        <v>12</v>
      </c>
      <c r="D11" s="16" t="s">
        <v>13</v>
      </c>
      <c r="E11" s="14">
        <v>48898</v>
      </c>
      <c r="F11" s="14">
        <v>66157</v>
      </c>
      <c r="G11" s="14">
        <v>71909</v>
      </c>
      <c r="H11" s="14">
        <v>100673</v>
      </c>
      <c r="I11" s="20">
        <f t="shared" si="0"/>
        <v>287637</v>
      </c>
    </row>
    <row r="12" spans="1:9">
      <c r="A12" s="5" t="s">
        <v>32</v>
      </c>
      <c r="B12" s="5" t="s">
        <v>33</v>
      </c>
      <c r="C12" s="5" t="s">
        <v>34</v>
      </c>
      <c r="D12" s="16" t="s">
        <v>35</v>
      </c>
      <c r="E12" s="14">
        <v>14864</v>
      </c>
      <c r="F12" s="14">
        <v>31215</v>
      </c>
      <c r="G12" s="14">
        <v>44593</v>
      </c>
      <c r="H12" s="14">
        <v>57971</v>
      </c>
      <c r="I12" s="20">
        <f t="shared" si="0"/>
        <v>148643</v>
      </c>
    </row>
    <row r="13" spans="1:9">
      <c r="A13" s="5" t="s">
        <v>36</v>
      </c>
      <c r="B13" s="5" t="s">
        <v>37</v>
      </c>
      <c r="C13" s="5" t="s">
        <v>38</v>
      </c>
      <c r="D13" s="16" t="s">
        <v>39</v>
      </c>
      <c r="E13" s="14">
        <v>40431</v>
      </c>
      <c r="F13" s="14">
        <v>54701</v>
      </c>
      <c r="G13" s="14">
        <v>59458</v>
      </c>
      <c r="H13" s="14">
        <v>83241</v>
      </c>
      <c r="I13" s="20">
        <f t="shared" si="0"/>
        <v>237831</v>
      </c>
    </row>
    <row r="14" spans="1:9">
      <c r="A14" s="5" t="s">
        <v>40</v>
      </c>
      <c r="B14" s="5" t="s">
        <v>41</v>
      </c>
      <c r="C14" s="5" t="s">
        <v>12</v>
      </c>
      <c r="D14" s="16" t="s">
        <v>13</v>
      </c>
      <c r="E14" s="13">
        <v>13807</v>
      </c>
      <c r="F14" s="13">
        <v>28994</v>
      </c>
      <c r="G14" s="13">
        <v>41420</v>
      </c>
      <c r="H14" s="13">
        <v>53846</v>
      </c>
      <c r="I14" s="20">
        <f t="shared" si="0"/>
        <v>138067</v>
      </c>
    </row>
    <row r="15" spans="1:9">
      <c r="E15" s="18"/>
      <c r="F15" s="18"/>
      <c r="G15" s="18"/>
      <c r="H15" s="18"/>
    </row>
    <row r="18" spans="5:9" ht="15.75">
      <c r="E18" s="37" t="s">
        <v>5</v>
      </c>
      <c r="F18" s="37" t="s">
        <v>6</v>
      </c>
      <c r="G18" s="37" t="s">
        <v>7</v>
      </c>
      <c r="H18" s="37" t="s">
        <v>8</v>
      </c>
      <c r="I18" s="38" t="s">
        <v>9</v>
      </c>
    </row>
    <row r="19" spans="5:9" ht="15.75">
      <c r="E19" s="39">
        <v>76629</v>
      </c>
      <c r="F19" s="39">
        <v>103675</v>
      </c>
      <c r="G19" s="39">
        <v>112690</v>
      </c>
      <c r="H19" s="39">
        <v>157767</v>
      </c>
      <c r="I19" s="40">
        <f t="shared" ref="I19" si="1">SUM(E19:H19)</f>
        <v>450761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9A1574-27FC-424E-9445-8C8D701658D2}">
          <x14:formula1>
            <xm:f>'Options for KPI UT Levels'!$A$2:$A$47</xm:f>
          </x14:formula1>
          <xm:sqref>H1 C4:C456</xm:sqref>
        </x14:dataValidation>
        <x14:dataValidation type="list" allowBlank="1" showInputMessage="1" showErrorMessage="1" xr:uid="{DBC7447C-57D1-41AF-B182-99CB007A7812}">
          <x14:formula1>
            <xm:f>'Options for KPI UT Levels'!$B$2:$B$47</xm:f>
          </x14:formula1>
          <xm:sqref>D4:D818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9BFE-FBBB-419E-989D-5981946948A4}">
  <sheetPr>
    <tabColor rgb="FFFFC000"/>
  </sheetPr>
  <dimension ref="A1:I15"/>
  <sheetViews>
    <sheetView workbookViewId="0">
      <selection activeCell="B7" sqref="B7"/>
    </sheetView>
  </sheetViews>
  <sheetFormatPr defaultColWidth="8.875" defaultRowHeight="15.95"/>
  <cols>
    <col min="1" max="1" width="55.125" customWidth="1"/>
    <col min="2" max="2" width="12.375" customWidth="1"/>
    <col min="3" max="4" width="24.375" customWidth="1"/>
    <col min="5" max="9" width="12.625" customWidth="1"/>
  </cols>
  <sheetData>
    <row r="1" spans="1:9" ht="21.95">
      <c r="A1" s="6" t="s">
        <v>42</v>
      </c>
      <c r="B1" s="6"/>
      <c r="C1" s="6"/>
      <c r="D1" s="6"/>
      <c r="E1" s="6"/>
      <c r="F1" s="6"/>
      <c r="G1" s="6"/>
      <c r="H1" s="6"/>
      <c r="I1" s="6"/>
    </row>
    <row r="2" spans="1:9">
      <c r="A2" s="7" t="s">
        <v>1</v>
      </c>
      <c r="B2" s="7" t="s">
        <v>2</v>
      </c>
      <c r="C2" s="7" t="s">
        <v>3</v>
      </c>
      <c r="D2" s="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</row>
    <row r="3" spans="1:9">
      <c r="A3" s="5" t="s">
        <v>43</v>
      </c>
      <c r="B3" s="33" t="s">
        <v>44</v>
      </c>
      <c r="C3" s="5" t="s">
        <v>12</v>
      </c>
      <c r="D3" s="16" t="s">
        <v>13</v>
      </c>
      <c r="E3" s="14">
        <v>102572</v>
      </c>
      <c r="F3" s="14">
        <v>138774</v>
      </c>
      <c r="G3" s="14">
        <v>150841</v>
      </c>
      <c r="H3" s="14">
        <v>211177</v>
      </c>
      <c r="I3" s="14">
        <v>603364</v>
      </c>
    </row>
    <row r="4" spans="1:9">
      <c r="A4" s="5" t="s">
        <v>45</v>
      </c>
      <c r="B4" s="33" t="s">
        <v>46</v>
      </c>
      <c r="C4" s="21" t="s">
        <v>38</v>
      </c>
      <c r="D4" s="21" t="s">
        <v>47</v>
      </c>
      <c r="E4" s="14">
        <v>49617</v>
      </c>
      <c r="F4" s="14">
        <v>67130</v>
      </c>
      <c r="G4" s="14">
        <v>72967</v>
      </c>
      <c r="H4" s="14">
        <v>102154</v>
      </c>
      <c r="I4" s="14">
        <v>291868</v>
      </c>
    </row>
    <row r="5" spans="1:9">
      <c r="A5" s="22" t="s">
        <v>48</v>
      </c>
      <c r="B5" s="34" t="s">
        <v>49</v>
      </c>
      <c r="C5" s="23" t="s">
        <v>26</v>
      </c>
      <c r="D5" s="24" t="s">
        <v>27</v>
      </c>
      <c r="E5" s="15">
        <v>116686</v>
      </c>
      <c r="F5" s="15">
        <v>350058</v>
      </c>
      <c r="G5" s="15">
        <v>466744</v>
      </c>
      <c r="H5" s="15">
        <v>1400232</v>
      </c>
      <c r="I5" s="25">
        <v>2333720</v>
      </c>
    </row>
    <row r="6" spans="1:9">
      <c r="A6" s="5" t="s">
        <v>50</v>
      </c>
      <c r="B6" s="33" t="s">
        <v>51</v>
      </c>
      <c r="C6" s="5" t="s">
        <v>12</v>
      </c>
      <c r="D6" s="16" t="s">
        <v>13</v>
      </c>
      <c r="E6" s="14">
        <v>308870</v>
      </c>
      <c r="F6" s="14">
        <v>533503</v>
      </c>
      <c r="G6" s="14">
        <v>631780</v>
      </c>
      <c r="H6" s="14">
        <v>1333758</v>
      </c>
      <c r="I6" s="26">
        <v>2807911</v>
      </c>
    </row>
    <row r="7" spans="1:9">
      <c r="A7" s="5" t="s">
        <v>52</v>
      </c>
      <c r="B7" s="33" t="s">
        <v>53</v>
      </c>
      <c r="C7" s="5" t="s">
        <v>38</v>
      </c>
      <c r="D7" s="16" t="s">
        <v>47</v>
      </c>
      <c r="E7" s="27">
        <v>99235</v>
      </c>
      <c r="F7" s="27">
        <v>134259</v>
      </c>
      <c r="G7" s="27">
        <v>145934</v>
      </c>
      <c r="H7" s="27">
        <v>204307</v>
      </c>
      <c r="I7" s="28">
        <f>E7+F7+G7+H7</f>
        <v>583735</v>
      </c>
    </row>
    <row r="8" spans="1:9">
      <c r="A8" s="5" t="s">
        <v>54</v>
      </c>
      <c r="B8" s="33" t="s">
        <v>55</v>
      </c>
      <c r="C8" s="5" t="s">
        <v>12</v>
      </c>
      <c r="D8" s="16" t="s">
        <v>13</v>
      </c>
      <c r="E8" s="14">
        <v>4420</v>
      </c>
      <c r="F8" s="14">
        <v>5980</v>
      </c>
      <c r="G8" s="14">
        <v>6500</v>
      </c>
      <c r="H8" s="14">
        <v>9100</v>
      </c>
      <c r="I8" s="20">
        <f>SUM(E8:H8)</f>
        <v>26000</v>
      </c>
    </row>
    <row r="9" spans="1:9">
      <c r="A9" s="5"/>
      <c r="B9" s="5"/>
      <c r="C9" s="5"/>
      <c r="D9" s="16"/>
      <c r="E9" s="14"/>
      <c r="F9" s="14"/>
      <c r="G9" s="14"/>
      <c r="H9" s="14"/>
      <c r="I9" s="20"/>
    </row>
    <row r="10" spans="1:9">
      <c r="A10" s="5"/>
      <c r="B10" s="5"/>
      <c r="C10" s="5"/>
      <c r="D10" s="16"/>
      <c r="E10" s="14"/>
      <c r="F10" s="14"/>
      <c r="G10" s="14"/>
      <c r="H10" s="14"/>
      <c r="I10" s="20"/>
    </row>
    <row r="11" spans="1:9">
      <c r="A11" s="5"/>
      <c r="B11" s="5"/>
      <c r="C11" s="5"/>
      <c r="D11" s="16"/>
      <c r="E11" s="14"/>
      <c r="F11" s="14"/>
      <c r="G11" s="14"/>
      <c r="H11" s="14"/>
      <c r="I11" s="20"/>
    </row>
    <row r="12" spans="1:9">
      <c r="A12" s="5"/>
      <c r="B12" s="5"/>
      <c r="C12" s="5"/>
      <c r="D12" s="16"/>
      <c r="E12" s="14"/>
      <c r="F12" s="14"/>
      <c r="G12" s="14"/>
      <c r="H12" s="14"/>
      <c r="I12" s="20"/>
    </row>
    <row r="13" spans="1:9">
      <c r="A13" s="5"/>
      <c r="B13" s="5"/>
      <c r="C13" s="5"/>
      <c r="D13" s="16"/>
      <c r="E13" s="14"/>
      <c r="F13" s="14"/>
      <c r="G13" s="14"/>
      <c r="H13" s="14"/>
      <c r="I13" s="20"/>
    </row>
    <row r="14" spans="1:9">
      <c r="A14" s="5"/>
      <c r="B14" s="5"/>
      <c r="C14" s="5"/>
      <c r="D14" s="16"/>
      <c r="E14" s="13"/>
      <c r="F14" s="13"/>
      <c r="G14" s="13"/>
      <c r="H14" s="13"/>
      <c r="I14" s="20"/>
    </row>
    <row r="15" spans="1:9">
      <c r="A15" s="5"/>
      <c r="B15" s="5"/>
      <c r="C15" s="5"/>
      <c r="D15" s="5"/>
      <c r="E15" s="18"/>
      <c r="F15" s="18"/>
      <c r="G15" s="18"/>
      <c r="H15" s="18"/>
      <c r="I15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E47B076-1ED0-45E3-8F2D-2D817D186AB2}">
          <x14:formula1>
            <xm:f>'Options for KPI UT Levels'!$B$2:$B$47</xm:f>
          </x14:formula1>
          <xm:sqref>D3 D6:D15</xm:sqref>
        </x14:dataValidation>
        <x14:dataValidation type="list" allowBlank="1" showInputMessage="1" showErrorMessage="1" xr:uid="{D399CD0A-7E49-47EB-83AF-3A408CD74A4A}">
          <x14:formula1>
            <xm:f>'Options for KPI UT Levels'!$A$2:$A$47</xm:f>
          </x14:formula1>
          <xm:sqref>H1 C3 C6:C15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E78A-483B-450F-A13E-AC8D1A54D15D}">
  <sheetPr>
    <tabColor rgb="FF00B0F0"/>
  </sheetPr>
  <dimension ref="A1:I6"/>
  <sheetViews>
    <sheetView workbookViewId="0">
      <selection activeCell="B4" sqref="B4"/>
    </sheetView>
  </sheetViews>
  <sheetFormatPr defaultColWidth="8.875" defaultRowHeight="15.95"/>
  <cols>
    <col min="1" max="1" width="34.125" customWidth="1"/>
    <col min="2" max="2" width="18.625" customWidth="1"/>
    <col min="3" max="3" width="14.625" customWidth="1"/>
    <col min="4" max="4" width="14.125" customWidth="1"/>
    <col min="5" max="8" width="12.875" bestFit="1" customWidth="1"/>
    <col min="9" max="9" width="14.875" customWidth="1"/>
  </cols>
  <sheetData>
    <row r="1" spans="1:9" ht="21.95">
      <c r="A1" s="6" t="s">
        <v>56</v>
      </c>
      <c r="B1" s="6"/>
      <c r="C1" s="6"/>
      <c r="D1" s="6"/>
      <c r="E1" s="6"/>
      <c r="F1" s="6"/>
      <c r="G1" s="6"/>
      <c r="H1" s="6"/>
      <c r="I1" s="6"/>
    </row>
    <row r="2" spans="1:9">
      <c r="A2" s="7" t="s">
        <v>1</v>
      </c>
      <c r="B2" s="7" t="s">
        <v>2</v>
      </c>
      <c r="C2" s="7" t="s">
        <v>3</v>
      </c>
      <c r="D2" s="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</row>
    <row r="3" spans="1:9">
      <c r="A3" t="s">
        <v>57</v>
      </c>
      <c r="B3" s="32" t="s">
        <v>58</v>
      </c>
      <c r="C3" t="s">
        <v>12</v>
      </c>
      <c r="D3" t="s">
        <v>13</v>
      </c>
      <c r="E3" s="29">
        <v>187000</v>
      </c>
      <c r="F3" s="29">
        <v>253000</v>
      </c>
      <c r="G3" s="29">
        <v>275000</v>
      </c>
      <c r="H3" s="29">
        <v>385000</v>
      </c>
      <c r="I3" s="29">
        <f>SUM(E3:H3)</f>
        <v>1100000</v>
      </c>
    </row>
    <row r="4" spans="1:9">
      <c r="A4" t="s">
        <v>59</v>
      </c>
      <c r="B4" s="32" t="s">
        <v>60</v>
      </c>
      <c r="C4" t="s">
        <v>12</v>
      </c>
      <c r="D4" t="s">
        <v>13</v>
      </c>
      <c r="E4" s="35">
        <v>34089</v>
      </c>
      <c r="F4" s="35">
        <v>46120</v>
      </c>
      <c r="G4" s="35">
        <v>50131</v>
      </c>
      <c r="H4" s="35">
        <v>70183</v>
      </c>
      <c r="I4" s="35">
        <f>SUM(E4:H4)</f>
        <v>200523</v>
      </c>
    </row>
    <row r="5" spans="1:9">
      <c r="A5" t="s">
        <v>61</v>
      </c>
      <c r="B5" t="s">
        <v>62</v>
      </c>
    </row>
    <row r="6" spans="1:9">
      <c r="A6" t="s">
        <v>63</v>
      </c>
      <c r="B6" s="32" t="s">
        <v>64</v>
      </c>
      <c r="C6" s="30" t="s">
        <v>12</v>
      </c>
      <c r="D6" s="30" t="s">
        <v>13</v>
      </c>
      <c r="E6" s="31">
        <v>154090</v>
      </c>
      <c r="F6" s="31">
        <v>208475</v>
      </c>
      <c r="G6" s="31">
        <v>226603</v>
      </c>
      <c r="H6" s="31">
        <v>317244</v>
      </c>
      <c r="I6" s="31">
        <f>SUM(E6:H6)</f>
        <v>906412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237891-CF77-4B65-A101-83D3FD6DF5BF}">
          <x14:formula1>
            <xm:f>'Options for KPI UT Levels'!$A$2:$A$47</xm:f>
          </x14:formula1>
          <xm:sqref>H1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5964-A964-0541-B96E-E86F780712DE}">
  <dimension ref="A1:B47"/>
  <sheetViews>
    <sheetView zoomScaleNormal="100" workbookViewId="0">
      <selection activeCell="A6" sqref="A6:A8"/>
    </sheetView>
  </sheetViews>
  <sheetFormatPr defaultColWidth="10.625" defaultRowHeight="22.35" customHeight="1"/>
  <cols>
    <col min="1" max="1" width="33.5" style="4" bestFit="1" customWidth="1"/>
    <col min="2" max="2" width="47.625" style="2" bestFit="1" customWidth="1"/>
    <col min="3" max="16384" width="10.625" style="2"/>
  </cols>
  <sheetData>
    <row r="1" spans="1:2" ht="22.35" customHeight="1">
      <c r="A1" s="1" t="s">
        <v>3</v>
      </c>
      <c r="B1" s="1" t="s">
        <v>4</v>
      </c>
    </row>
    <row r="2" spans="1:2" ht="22.35" customHeight="1">
      <c r="A2" s="41" t="s">
        <v>38</v>
      </c>
      <c r="B2" s="2" t="s">
        <v>65</v>
      </c>
    </row>
    <row r="3" spans="1:2" ht="22.35" customHeight="1">
      <c r="A3" s="41"/>
      <c r="B3" s="2" t="s">
        <v>66</v>
      </c>
    </row>
    <row r="4" spans="1:2" ht="22.35" customHeight="1">
      <c r="A4" s="41"/>
      <c r="B4" s="2" t="s">
        <v>67</v>
      </c>
    </row>
    <row r="5" spans="1:2" ht="22.35" customHeight="1">
      <c r="A5" s="42"/>
      <c r="B5" s="3" t="s">
        <v>47</v>
      </c>
    </row>
    <row r="6" spans="1:2" ht="22.35" customHeight="1">
      <c r="A6" s="41" t="s">
        <v>12</v>
      </c>
      <c r="B6" s="2" t="s">
        <v>13</v>
      </c>
    </row>
    <row r="7" spans="1:2" ht="22.35" customHeight="1">
      <c r="A7" s="41"/>
      <c r="B7" s="2" t="s">
        <v>68</v>
      </c>
    </row>
    <row r="8" spans="1:2" ht="22.35" customHeight="1">
      <c r="A8" s="42"/>
      <c r="B8" s="3" t="s">
        <v>69</v>
      </c>
    </row>
    <row r="9" spans="1:2" ht="22.35" customHeight="1">
      <c r="A9" s="41" t="s">
        <v>70</v>
      </c>
      <c r="B9" s="2" t="s">
        <v>39</v>
      </c>
    </row>
    <row r="10" spans="1:2" ht="22.35" customHeight="1">
      <c r="A10" s="41"/>
      <c r="B10" s="2" t="s">
        <v>71</v>
      </c>
    </row>
    <row r="11" spans="1:2" ht="22.35" customHeight="1">
      <c r="A11" s="42"/>
      <c r="B11" s="3" t="s">
        <v>72</v>
      </c>
    </row>
    <row r="12" spans="1:2" ht="22.35" customHeight="1">
      <c r="A12" s="41" t="s">
        <v>73</v>
      </c>
      <c r="B12" s="2" t="s">
        <v>74</v>
      </c>
    </row>
    <row r="13" spans="1:2" ht="22.35" customHeight="1">
      <c r="A13" s="41"/>
      <c r="B13" s="2" t="s">
        <v>75</v>
      </c>
    </row>
    <row r="14" spans="1:2" ht="22.35" customHeight="1">
      <c r="A14" s="42"/>
      <c r="B14" s="3" t="s">
        <v>76</v>
      </c>
    </row>
    <row r="15" spans="1:2" ht="22.35" customHeight="1">
      <c r="A15" s="36" t="s">
        <v>77</v>
      </c>
      <c r="B15" s="3" t="s">
        <v>78</v>
      </c>
    </row>
    <row r="16" spans="1:2" ht="22.35" customHeight="1">
      <c r="A16" s="41" t="s">
        <v>34</v>
      </c>
      <c r="B16" s="2" t="s">
        <v>79</v>
      </c>
    </row>
    <row r="17" spans="1:2" ht="22.35" customHeight="1">
      <c r="A17" s="41"/>
      <c r="B17" s="2" t="s">
        <v>35</v>
      </c>
    </row>
    <row r="18" spans="1:2" ht="22.35" customHeight="1">
      <c r="A18" s="41"/>
      <c r="B18" s="2" t="s">
        <v>80</v>
      </c>
    </row>
    <row r="19" spans="1:2" ht="22.35" customHeight="1">
      <c r="A19" s="42"/>
      <c r="B19" s="3" t="s">
        <v>81</v>
      </c>
    </row>
    <row r="20" spans="1:2" ht="22.35" customHeight="1">
      <c r="A20" s="36" t="s">
        <v>18</v>
      </c>
      <c r="B20" s="3" t="s">
        <v>19</v>
      </c>
    </row>
    <row r="21" spans="1:2" ht="22.35" customHeight="1">
      <c r="A21" s="41" t="s">
        <v>26</v>
      </c>
      <c r="B21" s="2" t="s">
        <v>82</v>
      </c>
    </row>
    <row r="22" spans="1:2" ht="22.35" customHeight="1">
      <c r="A22" s="41"/>
      <c r="B22" s="2" t="s">
        <v>83</v>
      </c>
    </row>
    <row r="23" spans="1:2" ht="22.35" customHeight="1">
      <c r="A23" s="42"/>
      <c r="B23" s="3" t="s">
        <v>27</v>
      </c>
    </row>
    <row r="24" spans="1:2" ht="22.35" customHeight="1">
      <c r="A24" s="41" t="s">
        <v>84</v>
      </c>
      <c r="B24" s="2" t="s">
        <v>85</v>
      </c>
    </row>
    <row r="25" spans="1:2" ht="22.35" customHeight="1">
      <c r="A25" s="41"/>
      <c r="B25" s="2" t="s">
        <v>86</v>
      </c>
    </row>
    <row r="26" spans="1:2" ht="22.35" customHeight="1">
      <c r="A26" s="41"/>
      <c r="B26" s="2" t="s">
        <v>87</v>
      </c>
    </row>
    <row r="27" spans="1:2" ht="22.35" customHeight="1">
      <c r="A27" s="41"/>
      <c r="B27" s="2" t="s">
        <v>88</v>
      </c>
    </row>
    <row r="28" spans="1:2" ht="22.35" customHeight="1">
      <c r="A28" s="41"/>
      <c r="B28" s="2" t="s">
        <v>89</v>
      </c>
    </row>
    <row r="29" spans="1:2" ht="22.35" customHeight="1">
      <c r="A29" s="41"/>
      <c r="B29" s="2" t="s">
        <v>90</v>
      </c>
    </row>
    <row r="30" spans="1:2" ht="22.35" customHeight="1">
      <c r="A30" s="41"/>
      <c r="B30" s="2" t="s">
        <v>91</v>
      </c>
    </row>
    <row r="31" spans="1:2" ht="22.35" customHeight="1">
      <c r="A31" s="42"/>
      <c r="B31" s="3" t="s">
        <v>92</v>
      </c>
    </row>
    <row r="32" spans="1:2" ht="22.35" customHeight="1">
      <c r="A32" s="41" t="s">
        <v>93</v>
      </c>
      <c r="B32" s="2" t="s">
        <v>94</v>
      </c>
    </row>
    <row r="33" spans="1:2" ht="22.35" customHeight="1">
      <c r="A33" s="41"/>
      <c r="B33" s="2" t="s">
        <v>95</v>
      </c>
    </row>
    <row r="34" spans="1:2" ht="22.35" customHeight="1">
      <c r="A34" s="41"/>
      <c r="B34" s="2" t="s">
        <v>96</v>
      </c>
    </row>
    <row r="35" spans="1:2" ht="22.35" customHeight="1">
      <c r="A35" s="41"/>
      <c r="B35" s="2" t="s">
        <v>97</v>
      </c>
    </row>
    <row r="36" spans="1:2" ht="22.35" customHeight="1">
      <c r="A36" s="41"/>
      <c r="B36" s="2" t="s">
        <v>98</v>
      </c>
    </row>
    <row r="37" spans="1:2" ht="22.35" customHeight="1">
      <c r="A37" s="41"/>
      <c r="B37" s="2" t="s">
        <v>99</v>
      </c>
    </row>
    <row r="38" spans="1:2" ht="22.35" customHeight="1">
      <c r="A38" s="41"/>
      <c r="B38" s="2" t="s">
        <v>100</v>
      </c>
    </row>
    <row r="39" spans="1:2" ht="22.35" customHeight="1">
      <c r="A39" s="42"/>
      <c r="B39" s="3" t="s">
        <v>101</v>
      </c>
    </row>
    <row r="40" spans="1:2" ht="22.35" customHeight="1">
      <c r="A40" s="36" t="s">
        <v>102</v>
      </c>
      <c r="B40" s="3" t="s">
        <v>103</v>
      </c>
    </row>
    <row r="41" spans="1:2" ht="22.35" customHeight="1">
      <c r="A41" s="41" t="s">
        <v>104</v>
      </c>
      <c r="B41" s="2" t="s">
        <v>105</v>
      </c>
    </row>
    <row r="42" spans="1:2" ht="22.35" customHeight="1">
      <c r="A42" s="42"/>
      <c r="B42" s="3" t="s">
        <v>106</v>
      </c>
    </row>
    <row r="43" spans="1:2" ht="22.35" customHeight="1">
      <c r="A43" s="41" t="s">
        <v>107</v>
      </c>
      <c r="B43" s="2" t="s">
        <v>108</v>
      </c>
    </row>
    <row r="44" spans="1:2" ht="22.35" customHeight="1">
      <c r="A44" s="42"/>
      <c r="B44" s="3" t="s">
        <v>109</v>
      </c>
    </row>
    <row r="45" spans="1:2" ht="22.35" customHeight="1">
      <c r="A45" s="41" t="s">
        <v>110</v>
      </c>
      <c r="B45" s="2" t="s">
        <v>111</v>
      </c>
    </row>
    <row r="46" spans="1:2" ht="22.35" customHeight="1">
      <c r="A46" s="41"/>
      <c r="B46" s="2" t="s">
        <v>112</v>
      </c>
    </row>
    <row r="47" spans="1:2" ht="22.35" customHeight="1">
      <c r="A47" s="42"/>
      <c r="B47" s="3" t="s">
        <v>113</v>
      </c>
    </row>
  </sheetData>
  <mergeCells count="11">
    <mergeCell ref="A21:A23"/>
    <mergeCell ref="A2:A5"/>
    <mergeCell ref="A6:A8"/>
    <mergeCell ref="A9:A11"/>
    <mergeCell ref="A12:A14"/>
    <mergeCell ref="A16:A19"/>
    <mergeCell ref="A24:A31"/>
    <mergeCell ref="A32:A39"/>
    <mergeCell ref="A41:A42"/>
    <mergeCell ref="A43:A44"/>
    <mergeCell ref="A45:A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4621-F791-44F9-897F-0622B3EC471B}">
  <dimension ref="A1:E5"/>
  <sheetViews>
    <sheetView workbookViewId="0">
      <selection activeCell="D7" sqref="D7"/>
    </sheetView>
  </sheetViews>
  <sheetFormatPr defaultColWidth="8.875" defaultRowHeight="15.95"/>
  <cols>
    <col min="1" max="1" width="24.875" customWidth="1"/>
  </cols>
  <sheetData>
    <row r="1" spans="1:5">
      <c r="A1" s="8"/>
      <c r="B1" s="43" t="s">
        <v>114</v>
      </c>
      <c r="C1" s="43"/>
      <c r="D1" s="43"/>
      <c r="E1" s="43"/>
    </row>
    <row r="2" spans="1:5">
      <c r="A2" s="9"/>
      <c r="B2" s="10" t="s">
        <v>5</v>
      </c>
      <c r="C2" s="10" t="s">
        <v>115</v>
      </c>
      <c r="D2" s="10" t="s">
        <v>7</v>
      </c>
      <c r="E2" s="10" t="s">
        <v>8</v>
      </c>
    </row>
    <row r="3" spans="1:5">
      <c r="A3" s="11" t="s">
        <v>116</v>
      </c>
      <c r="B3" s="12">
        <v>0.17</v>
      </c>
      <c r="C3" s="12">
        <v>0.23</v>
      </c>
      <c r="D3" s="12">
        <v>0.25</v>
      </c>
      <c r="E3" s="12">
        <v>0.35</v>
      </c>
    </row>
    <row r="4" spans="1:5">
      <c r="A4" s="11" t="s">
        <v>117</v>
      </c>
      <c r="B4" s="12">
        <v>0.1</v>
      </c>
      <c r="C4" s="12">
        <v>0.21</v>
      </c>
      <c r="D4" s="12">
        <v>0.3</v>
      </c>
      <c r="E4" s="12">
        <v>0.39</v>
      </c>
    </row>
    <row r="5" spans="1:5">
      <c r="A5" s="11" t="s">
        <v>118</v>
      </c>
      <c r="B5" s="12">
        <v>0.05</v>
      </c>
      <c r="C5" s="12">
        <v>0.15</v>
      </c>
      <c r="D5" s="12">
        <v>0.2</v>
      </c>
      <c r="E5" s="12">
        <v>0.6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4C29C17E9AEA4CB48B504ECDD326F6" ma:contentTypeVersion="13" ma:contentTypeDescription="Create a new document." ma:contentTypeScope="" ma:versionID="bbcee55541c60a67ae91fde6cd5b9535">
  <xsd:schema xmlns:xsd="http://www.w3.org/2001/XMLSchema" xmlns:xs="http://www.w3.org/2001/XMLSchema" xmlns:p="http://schemas.microsoft.com/office/2006/metadata/properties" xmlns:ns3="e0232e1f-123a-43d1-921b-7c05729cf17c" targetNamespace="http://schemas.microsoft.com/office/2006/metadata/properties" ma:root="true" ma:fieldsID="a4621de01236b0f54131317d0d7f10a2" ns3:_="">
    <xsd:import namespace="e0232e1f-123a-43d1-921b-7c05729cf1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32e1f-123a-43d1-921b-7c05729cf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232e1f-123a-43d1-921b-7c05729cf17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985BAC-01DD-4D79-81D2-7D306B72EA06}"/>
</file>

<file path=customXml/itemProps2.xml><?xml version="1.0" encoding="utf-8"?>
<ds:datastoreItem xmlns:ds="http://schemas.openxmlformats.org/officeDocument/2006/customXml" ds:itemID="{7D8C4767-4D22-45B1-BCBF-E6BA997C4D9A}"/>
</file>

<file path=customXml/itemProps3.xml><?xml version="1.0" encoding="utf-8"?>
<ds:datastoreItem xmlns:ds="http://schemas.openxmlformats.org/officeDocument/2006/customXml" ds:itemID="{56308CB8-6F41-47A1-A7FA-F6896EEA6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ERK</dc:creator>
  <cp:keywords/>
  <dc:description/>
  <cp:lastModifiedBy>Camila Becerra</cp:lastModifiedBy>
  <cp:revision/>
  <dcterms:created xsi:type="dcterms:W3CDTF">2026-02-19T16:21:33Z</dcterms:created>
  <dcterms:modified xsi:type="dcterms:W3CDTF">2026-07-30T18:00:27Z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0x010100F94C29C17E9AEA4CB48B504ECDD326F6</vt:lpwstr>
  </property>
</Properties>
</file>