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rc/Library/Application Support/Box/Box Edit/Documents/2145519599913/"/>
    </mc:Choice>
  </mc:AlternateContent>
  <xr:revisionPtr revIDLastSave="0" documentId="13_ncr:1_{9CD36BF8-F266-7345-97D2-59CFD8665A1F}" xr6:coauthVersionLast="47" xr6:coauthVersionMax="47" xr10:uidLastSave="{00000000-0000-0000-0000-000000000000}"/>
  <bookViews>
    <workbookView xWindow="40" yWindow="600" windowWidth="28760" windowHeight="16100" activeTab="1" xr2:uid="{34DAB5B8-0534-154D-B765-6F9AFE0242E3}"/>
  </bookViews>
  <sheets>
    <sheet name="Q2 Projections" sheetId="2" r:id="rId1"/>
    <sheet name="Q3 Projections" sheetId="4" r:id="rId2"/>
    <sheet name="Q4 Projections" sheetId="5" r:id="rId3"/>
    <sheet name="Options for KPI UT Levels" sheetId="1" r:id="rId4"/>
    <sheet name="Sheet1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G3" i="5"/>
  <c r="F3" i="5"/>
  <c r="E3" i="5"/>
  <c r="H4" i="5"/>
  <c r="G4" i="5"/>
  <c r="F4" i="5"/>
  <c r="E4" i="5"/>
  <c r="H9" i="4"/>
  <c r="G9" i="4"/>
  <c r="F9" i="4"/>
  <c r="E9" i="4"/>
  <c r="H8" i="4"/>
  <c r="G8" i="4"/>
  <c r="F8" i="4"/>
  <c r="E8" i="4"/>
  <c r="H5" i="4"/>
  <c r="G5" i="4"/>
  <c r="F5" i="4"/>
  <c r="E5" i="4"/>
  <c r="H7" i="4"/>
  <c r="G7" i="4"/>
  <c r="F7" i="4"/>
  <c r="E7" i="4"/>
  <c r="H6" i="4"/>
  <c r="G6" i="4"/>
  <c r="F6" i="4"/>
  <c r="E6" i="4"/>
  <c r="H4" i="4"/>
  <c r="G4" i="4"/>
  <c r="F4" i="4"/>
  <c r="E4" i="4"/>
  <c r="H3" i="4"/>
  <c r="G3" i="4"/>
  <c r="F3" i="4"/>
  <c r="E3" i="4"/>
  <c r="E3" i="2"/>
  <c r="E7" i="2"/>
  <c r="E9" i="2"/>
  <c r="H9" i="2"/>
  <c r="G9" i="2"/>
  <c r="F9" i="2"/>
  <c r="H7" i="2"/>
  <c r="G7" i="2"/>
  <c r="F7" i="2"/>
  <c r="E4" i="2"/>
  <c r="F4" i="2"/>
  <c r="G4" i="2"/>
  <c r="H4" i="2"/>
  <c r="E5" i="2"/>
  <c r="F5" i="2"/>
  <c r="G5" i="2"/>
  <c r="H5" i="2"/>
  <c r="E6" i="2"/>
  <c r="F6" i="2"/>
  <c r="G6" i="2"/>
  <c r="H6" i="2"/>
  <c r="E8" i="2"/>
  <c r="F8" i="2"/>
  <c r="G8" i="2"/>
  <c r="H8" i="2"/>
  <c r="G3" i="2"/>
  <c r="F3" i="2"/>
</calcChain>
</file>

<file path=xl/sharedStrings.xml><?xml version="1.0" encoding="utf-8"?>
<sst xmlns="http://schemas.openxmlformats.org/spreadsheetml/2006/main" count="164" uniqueCount="109">
  <si>
    <t>FSM Market Q2 KPI Projections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</si>
  <si>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</si>
  <si>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</si>
  <si>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</si>
  <si>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</si>
  <si>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</si>
  <si>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</si>
  <si>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</si>
  <si>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</si>
  <si>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Total SQL</t>
  </si>
  <si>
    <t>FSLE: West AI+Automation</t>
  </si>
  <si>
    <t>P27TUAMB</t>
  </si>
  <si>
    <t>Data Platform</t>
  </si>
  <si>
    <t>AI Productivity</t>
  </si>
  <si>
    <t>Emerging Technologies for Financial Services</t>
  </si>
  <si>
    <t>QUJXO2MB</t>
  </si>
  <si>
    <t>Data Fabric</t>
  </si>
  <si>
    <t>Emerging Technologies for Financial Services Reception</t>
  </si>
  <si>
    <t>071P02MB</t>
  </si>
  <si>
    <t>FIMA US</t>
  </si>
  <si>
    <t>IN3M02MB</t>
  </si>
  <si>
    <t>Automation Platform</t>
  </si>
  <si>
    <t>Infrastructure Automation</t>
  </si>
  <si>
    <t>Insurance Innovators USA 2026</t>
  </si>
  <si>
    <t>4QI954MB</t>
  </si>
  <si>
    <t>Strategy &amp; Technology</t>
  </si>
  <si>
    <t>Strategy &amp; Transformation</t>
  </si>
  <si>
    <t>GDS Banking NA Summit - Memphis, TN - Q2</t>
  </si>
  <si>
    <t>4Q8FCVMB</t>
  </si>
  <si>
    <t>American Banker Digital Banking Conference</t>
  </si>
  <si>
    <t>N02IWWMB</t>
  </si>
  <si>
    <t>FSM Market Q3 KPI Projections</t>
  </si>
  <si>
    <t>PEWIN Silver Partner Sponsorship</t>
  </si>
  <si>
    <t>1GPC6RMB</t>
  </si>
  <si>
    <t>NY FLSE From Pilots to Scale: Accelerating and Realizing Transformation Value</t>
  </si>
  <si>
    <t>FTVWBBMB</t>
  </si>
  <si>
    <t>Fiserv Forum 2026</t>
  </si>
  <si>
    <t>F2W0WQMB</t>
  </si>
  <si>
    <t>PCG: Venture Capital</t>
  </si>
  <si>
    <t>WRKDDPMB</t>
  </si>
  <si>
    <t>Financial Services Leadership Exchange: Lead by Doing - An Executive Workshop to Build Your Own AI Agent and Shape Your Institution’s Governed AI Future</t>
  </si>
  <si>
    <t>GXVZXYMB</t>
  </si>
  <si>
    <t>D.A.T.A. Innovation Showcase 2026</t>
  </si>
  <si>
    <t>NIN2JRMB</t>
  </si>
  <si>
    <t>ITC Vegas</t>
  </si>
  <si>
    <t>2F9KGHMB</t>
  </si>
  <si>
    <t>FSM Market Q4 KPI Projections</t>
  </si>
  <si>
    <t>Money 20/20 USA 2026</t>
  </si>
  <si>
    <t>37ENEZMB</t>
  </si>
  <si>
    <t>NextGen Banking Summit USA</t>
  </si>
  <si>
    <t>62EG72MB</t>
  </si>
  <si>
    <t>Application Development &amp; Integration</t>
  </si>
  <si>
    <t>Security Threat Management</t>
  </si>
  <si>
    <t>Technology Business Management</t>
  </si>
  <si>
    <t>AI/ML Ops</t>
  </si>
  <si>
    <t>Intelligent Operations</t>
  </si>
  <si>
    <t>Application Operations</t>
  </si>
  <si>
    <t>Business Operations</t>
  </si>
  <si>
    <t>Cybersecurity</t>
  </si>
  <si>
    <t>Power HW</t>
  </si>
  <si>
    <t>AIX / IBM i Market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</si>
  <si>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</si>
  <si>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</si>
  <si>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</si>
  <si>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</si>
  <si>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</si>
  <si>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</si>
  <si>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IaaS</t>
  </si>
  <si>
    <t>Public Cloud PaaS</t>
  </si>
  <si>
    <t>Public Cloud TEL &amp; Support</t>
  </si>
  <si>
    <t>Quantum</t>
  </si>
  <si>
    <t>Quantum Market</t>
  </si>
  <si>
    <t>Business Applications</t>
  </si>
  <si>
    <t>Hybrid Cloud &amp; Data</t>
  </si>
  <si>
    <t>Storage HW</t>
  </si>
  <si>
    <t>Storage Networking Market</t>
  </si>
  <si>
    <t>Storage Operations / Services Market</t>
  </si>
  <si>
    <t>Storage Tape Market</t>
  </si>
  <si>
    <t>Storage for Data Resiliency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</si>
  <si>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</si>
  <si>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</si>
  <si>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</si>
  <si>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</si>
  <si>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</si>
  <si>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</si>
  <si>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</si>
  <si>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</si>
  <si>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</si>
  <si>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</si>
  <si>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</si>
  <si>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</si>
  <si>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</si>
  <si>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</si>
  <si>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</si>
  <si>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</si>
  <si>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</si>
  <si>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</si>
  <si>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Z HW</t>
  </si>
  <si>
    <t>IBM Z and LinuxONE Hardware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</si>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</sst>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$-409]* #,##0_);_([$$-409]* \(#,##0\);_([$$-409]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5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164" fontId="0" fillId="0" borderId="2" xfId="1" applyNumberFormat="1" applyFont="1" applyBorder="1"/>
    <xf numFmtId="165" fontId="0" fillId="0" borderId="2" xfId="0" applyNumberFormat="1" applyBorder="1"/>
    <xf numFmtId="0" fontId="0" fillId="6" borderId="2" xfId="0" applyFill="1" applyBorder="1"/>
    <xf numFmtId="164" fontId="0" fillId="6" borderId="2" xfId="1" applyNumberFormat="1" applyFont="1" applyFill="1" applyBorder="1"/>
    <xf numFmtId="164" fontId="0" fillId="0" borderId="2" xfId="1" applyNumberFormat="1" applyFont="1" applyFill="1" applyBorder="1"/>
    <xf numFmtId="0" fontId="2" fillId="0" borderId="1" xfId="0" applyFont="1" applyBorder="1" applyAlignment="1">
      <alignment horizontal="left" vertical="center"/>
    </xf>
    <xf numFmtId="0" fontId="0" fillId="7" borderId="0" xfId="0" applyFill="1"/>
    <xf numFmtId="164" fontId="0" fillId="7" borderId="2" xfId="1" applyNumberFormat="1" applyFont="1" applyFill="1" applyBorder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I9"/>
  <sheetViews>
    <sheetView workbookViewId="0">
      <selection sqref="A1:A1048576"/>
    </sheetView>
  </sheetViews>
  <sheetFormatPr baseColWidth="10" defaultColWidth="8.83203125" defaultRowHeight="15.75" customHeight="1" x14ac:dyDescent="0.2"/>
  <cols>
    <col min="1" max="1" width="42.1640625" style="5" customWidth="1"/>
    <col min="2" max="2" width="19.33203125" style="5" customWidth="1"/>
    <col min="3" max="4" width="24.5" style="5" customWidth="1"/>
    <col min="5" max="8" width="18.1640625" style="5" customWidth="1"/>
    <col min="9" max="9" width="15.1640625" style="5" bestFit="1" customWidth="1"/>
    <col min="10" max="16384" width="8.83203125" style="5"/>
  </cols>
  <sheetData>
    <row r="1" spans="1:9" s="6" customFormat="1" ht="22" x14ac:dyDescent="0.3">
      <c r="A1" s="6" t="s">
        <v>0</v>
      </c>
    </row>
    <row r="2" spans="1:9" s="7" customFormat="1" ht="16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9" ht="16" x14ac:dyDescent="0.2">
      <c r="A3" s="5" t="s">
        <v>10</v>
      </c>
      <c r="B3" s="15" t="s">
        <v>11</v>
      </c>
      <c r="C3" s="5" t="s">
        <v>12</v>
      </c>
      <c r="D3" s="5" t="s">
        <v>13</v>
      </c>
      <c r="E3" s="13">
        <f>0.17*$I3</f>
        <v>170000</v>
      </c>
      <c r="F3" s="13">
        <f>0.23*$I3</f>
        <v>230000</v>
      </c>
      <c r="G3" s="13">
        <f>0.25*$I3</f>
        <v>250000</v>
      </c>
      <c r="H3" s="16">
        <v>350000</v>
      </c>
      <c r="I3" s="13">
        <v>1000000</v>
      </c>
    </row>
    <row r="4" spans="1:9" ht="16" x14ac:dyDescent="0.2">
      <c r="A4" s="5" t="s">
        <v>14</v>
      </c>
      <c r="B4" s="15" t="s">
        <v>15</v>
      </c>
      <c r="C4" s="5" t="s">
        <v>12</v>
      </c>
      <c r="D4" s="5" t="s">
        <v>16</v>
      </c>
      <c r="E4" s="13">
        <f>0.17*$I4</f>
        <v>68000</v>
      </c>
      <c r="F4" s="13">
        <f>0.23*$I4</f>
        <v>92000</v>
      </c>
      <c r="G4" s="13">
        <f>0.25*$I4</f>
        <v>100000</v>
      </c>
      <c r="H4" s="16">
        <f>0.35*$I4</f>
        <v>140000</v>
      </c>
      <c r="I4" s="13">
        <v>400000</v>
      </c>
    </row>
    <row r="5" spans="1:9" ht="16" x14ac:dyDescent="0.2">
      <c r="A5" s="5" t="s">
        <v>17</v>
      </c>
      <c r="B5" s="15" t="s">
        <v>18</v>
      </c>
      <c r="C5" s="5" t="s">
        <v>12</v>
      </c>
      <c r="D5" s="5" t="s">
        <v>16</v>
      </c>
      <c r="E5" s="13">
        <f>0.17*$I5</f>
        <v>68000</v>
      </c>
      <c r="F5" s="13">
        <f>0.23*$I5</f>
        <v>92000</v>
      </c>
      <c r="G5" s="13">
        <f>0.25*$I5</f>
        <v>100000</v>
      </c>
      <c r="H5" s="16">
        <f>0.35*$I5</f>
        <v>140000</v>
      </c>
      <c r="I5" s="13">
        <v>400000</v>
      </c>
    </row>
    <row r="6" spans="1:9" ht="16" x14ac:dyDescent="0.2">
      <c r="A6" s="5" t="s">
        <v>19</v>
      </c>
      <c r="B6" s="15" t="s">
        <v>20</v>
      </c>
      <c r="C6" s="5" t="s">
        <v>21</v>
      </c>
      <c r="D6" s="5" t="s">
        <v>22</v>
      </c>
      <c r="E6" s="13">
        <f>0.17*$I6</f>
        <v>153000</v>
      </c>
      <c r="F6" s="13">
        <f>0.23*$I6</f>
        <v>207000</v>
      </c>
      <c r="G6" s="13">
        <f>0.25*$I6</f>
        <v>225000</v>
      </c>
      <c r="H6" s="16">
        <f>0.35*$I6</f>
        <v>315000</v>
      </c>
      <c r="I6" s="13">
        <v>900000</v>
      </c>
    </row>
    <row r="7" spans="1:9" ht="16" x14ac:dyDescent="0.2">
      <c r="A7" s="5" t="s">
        <v>23</v>
      </c>
      <c r="B7" s="15" t="s">
        <v>24</v>
      </c>
      <c r="C7" s="5" t="s">
        <v>25</v>
      </c>
      <c r="D7" s="5" t="s">
        <v>26</v>
      </c>
      <c r="E7" s="13">
        <f>0.05*$I7</f>
        <v>60000</v>
      </c>
      <c r="F7" s="13">
        <f>0.15*$I7</f>
        <v>180000</v>
      </c>
      <c r="G7" s="13">
        <f>0.2*$I7</f>
        <v>240000</v>
      </c>
      <c r="H7" s="16">
        <f>0.6*$I7</f>
        <v>720000</v>
      </c>
      <c r="I7" s="13">
        <v>1200000</v>
      </c>
    </row>
    <row r="8" spans="1:9" ht="16" x14ac:dyDescent="0.2">
      <c r="A8" s="5" t="s">
        <v>27</v>
      </c>
      <c r="B8" s="15" t="s">
        <v>28</v>
      </c>
      <c r="C8" s="5" t="s">
        <v>12</v>
      </c>
      <c r="D8" s="5" t="s">
        <v>13</v>
      </c>
      <c r="E8" s="13">
        <f>0.17*$I8</f>
        <v>221000.00000000003</v>
      </c>
      <c r="F8" s="13">
        <f>0.23*$I8</f>
        <v>299000</v>
      </c>
      <c r="G8" s="13">
        <f>0.25*$I8</f>
        <v>325000</v>
      </c>
      <c r="H8" s="16">
        <f>0.35*$I8</f>
        <v>455000</v>
      </c>
      <c r="I8" s="13">
        <v>1300000</v>
      </c>
    </row>
    <row r="9" spans="1:9" ht="16" x14ac:dyDescent="0.2">
      <c r="A9" s="5" t="s">
        <v>29</v>
      </c>
      <c r="B9" s="15" t="s">
        <v>30</v>
      </c>
      <c r="C9" s="5" t="s">
        <v>25</v>
      </c>
      <c r="D9" s="5" t="s">
        <v>26</v>
      </c>
      <c r="E9" s="13">
        <f>0.05*$I9</f>
        <v>75000</v>
      </c>
      <c r="F9" s="13">
        <f>0.15*$I9</f>
        <v>225000</v>
      </c>
      <c r="G9" s="13">
        <f>0.2*$I9</f>
        <v>300000</v>
      </c>
      <c r="H9" s="16">
        <f>0.6*$I9</f>
        <v>900000</v>
      </c>
      <c r="I9" s="13">
        <v>1500000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C3:C455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D3:D817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4386-44A4-4795-B5E6-1BA126E4A589}">
  <sheetPr>
    <tabColor rgb="FF92D050"/>
  </sheetPr>
  <dimension ref="A1:I11"/>
  <sheetViews>
    <sheetView tabSelected="1" workbookViewId="0">
      <selection activeCell="B9" sqref="B9"/>
    </sheetView>
  </sheetViews>
  <sheetFormatPr baseColWidth="10" defaultColWidth="8.83203125" defaultRowHeight="16" x14ac:dyDescent="0.2"/>
  <cols>
    <col min="1" max="1" width="40.6640625" customWidth="1"/>
    <col min="2" max="2" width="12.83203125" customWidth="1"/>
    <col min="3" max="4" width="22" customWidth="1"/>
    <col min="5" max="9" width="15.33203125" customWidth="1"/>
  </cols>
  <sheetData>
    <row r="1" spans="1:9" ht="22" x14ac:dyDescent="0.3">
      <c r="A1" s="6" t="s">
        <v>31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9" x14ac:dyDescent="0.2">
      <c r="A3" s="5" t="s">
        <v>32</v>
      </c>
      <c r="B3" s="5" t="s">
        <v>33</v>
      </c>
      <c r="C3" s="5" t="s">
        <v>25</v>
      </c>
      <c r="D3" s="5" t="s">
        <v>26</v>
      </c>
      <c r="E3" s="13">
        <f>0.05*$I3</f>
        <v>45000</v>
      </c>
      <c r="F3" s="13">
        <f>0.15*$I3</f>
        <v>135000</v>
      </c>
      <c r="G3" s="13">
        <f>0.2*$I3</f>
        <v>180000</v>
      </c>
      <c r="H3" s="16">
        <f>0.6*$I3</f>
        <v>540000</v>
      </c>
      <c r="I3" s="14">
        <v>900000</v>
      </c>
    </row>
    <row r="4" spans="1:9" x14ac:dyDescent="0.2">
      <c r="A4" s="5" t="s">
        <v>34</v>
      </c>
      <c r="B4" s="5" t="s">
        <v>35</v>
      </c>
      <c r="C4" s="5" t="s">
        <v>25</v>
      </c>
      <c r="D4" s="5" t="s">
        <v>26</v>
      </c>
      <c r="E4" s="13">
        <f>0.05*$I4</f>
        <v>42500</v>
      </c>
      <c r="F4" s="13">
        <f>0.15*$I4</f>
        <v>127500</v>
      </c>
      <c r="G4" s="13">
        <f>0.2*$I4</f>
        <v>170000</v>
      </c>
      <c r="H4" s="16">
        <f>0.6*$I4</f>
        <v>510000</v>
      </c>
      <c r="I4" s="17">
        <v>850000</v>
      </c>
    </row>
    <row r="5" spans="1:9" x14ac:dyDescent="0.2">
      <c r="A5" s="5" t="s">
        <v>36</v>
      </c>
      <c r="B5" s="5" t="s">
        <v>37</v>
      </c>
      <c r="C5" s="5" t="s">
        <v>12</v>
      </c>
      <c r="D5" s="5" t="s">
        <v>13</v>
      </c>
      <c r="E5" s="13">
        <f>0.17*$I5</f>
        <v>3060000</v>
      </c>
      <c r="F5" s="13">
        <f>0.23*$I5</f>
        <v>4140000</v>
      </c>
      <c r="G5" s="13">
        <f>0.25*$I5</f>
        <v>4500000</v>
      </c>
      <c r="H5" s="16">
        <f>0.35*$I5</f>
        <v>6300000</v>
      </c>
      <c r="I5" s="17">
        <v>18000000</v>
      </c>
    </row>
    <row r="6" spans="1:9" x14ac:dyDescent="0.2">
      <c r="A6" s="5" t="s">
        <v>38</v>
      </c>
      <c r="B6" s="5" t="s">
        <v>39</v>
      </c>
      <c r="C6" s="5" t="s">
        <v>25</v>
      </c>
      <c r="D6" s="5" t="s">
        <v>26</v>
      </c>
      <c r="E6" s="13">
        <f>0.05*$I6</f>
        <v>25000</v>
      </c>
      <c r="F6" s="13">
        <f>0.15*$I6</f>
        <v>75000</v>
      </c>
      <c r="G6" s="13">
        <f>0.2*$I6</f>
        <v>100000</v>
      </c>
      <c r="H6" s="16">
        <f>0.6*$I6</f>
        <v>300000</v>
      </c>
      <c r="I6" s="17">
        <v>500000</v>
      </c>
    </row>
    <row r="7" spans="1:9" x14ac:dyDescent="0.2">
      <c r="A7" s="5" t="s">
        <v>40</v>
      </c>
      <c r="B7" s="5" t="s">
        <v>41</v>
      </c>
      <c r="C7" s="5" t="s">
        <v>12</v>
      </c>
      <c r="D7" s="5" t="s">
        <v>16</v>
      </c>
      <c r="E7" s="13">
        <f>0.17*$I7</f>
        <v>170000</v>
      </c>
      <c r="F7" s="13">
        <f>0.23*$I7</f>
        <v>230000</v>
      </c>
      <c r="G7" s="13">
        <f>0.25*$I7</f>
        <v>250000</v>
      </c>
      <c r="H7" s="16">
        <f>0.35*$I7</f>
        <v>350000</v>
      </c>
      <c r="I7" s="17">
        <v>1000000</v>
      </c>
    </row>
    <row r="8" spans="1:9" x14ac:dyDescent="0.2">
      <c r="A8" s="5" t="s">
        <v>42</v>
      </c>
      <c r="B8" s="5" t="s">
        <v>43</v>
      </c>
      <c r="C8" s="5" t="s">
        <v>12</v>
      </c>
      <c r="D8" s="5" t="s">
        <v>16</v>
      </c>
      <c r="E8" s="13">
        <f>0.17*$I8</f>
        <v>340000</v>
      </c>
      <c r="F8" s="13">
        <f>0.23*$I8</f>
        <v>460000</v>
      </c>
      <c r="G8" s="13">
        <f>0.25*$I8</f>
        <v>500000</v>
      </c>
      <c r="H8" s="16">
        <f>0.35*$I8</f>
        <v>700000</v>
      </c>
      <c r="I8" s="17">
        <v>2000000</v>
      </c>
    </row>
    <row r="9" spans="1:9" x14ac:dyDescent="0.2">
      <c r="A9" s="5" t="s">
        <v>44</v>
      </c>
      <c r="B9" s="5" t="s">
        <v>45</v>
      </c>
      <c r="C9" s="5" t="s">
        <v>25</v>
      </c>
      <c r="D9" s="5" t="s">
        <v>26</v>
      </c>
      <c r="E9" s="13">
        <f>0.05*$I9</f>
        <v>75000</v>
      </c>
      <c r="F9" s="13">
        <f>0.15*$I9</f>
        <v>225000</v>
      </c>
      <c r="G9" s="13">
        <f>0.2*$I9</f>
        <v>300000</v>
      </c>
      <c r="H9" s="16">
        <f>0.6*$I9</f>
        <v>900000</v>
      </c>
      <c r="I9" s="17">
        <v>1500000</v>
      </c>
    </row>
    <row r="10" spans="1:9" x14ac:dyDescent="0.2">
      <c r="A10" s="5"/>
      <c r="B10" s="5"/>
      <c r="C10" s="5"/>
      <c r="D10" s="5"/>
      <c r="E10" s="17"/>
      <c r="F10" s="17"/>
      <c r="G10" s="17"/>
      <c r="H10" s="17"/>
      <c r="I10" s="14"/>
    </row>
    <row r="11" spans="1:9" x14ac:dyDescent="0.2">
      <c r="A11" s="5"/>
      <c r="B11" s="5"/>
      <c r="C11" s="5"/>
      <c r="D11" s="5"/>
      <c r="E11" s="17"/>
      <c r="F11" s="17"/>
      <c r="G11" s="17"/>
      <c r="H11" s="17"/>
      <c r="I11" s="1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CEA18F-0E17-40F0-936F-47A0F66B5527}">
          <x14:formula1>
            <xm:f>'Options for KPI UT Levels'!$B$2:$B$47</xm:f>
          </x14:formula1>
          <xm:sqref>D3:D11</xm:sqref>
        </x14:dataValidation>
        <x14:dataValidation type="list" allowBlank="1" showInputMessage="1" showErrorMessage="1" xr:uid="{D06D1B20-E38B-4B4D-AB60-AD649CA561E0}">
          <x14:formula1>
            <xm:f>'Options for KPI UT Levels'!$A$2:$A$47</xm:f>
          </x14:formula1>
          <xm:sqref>H1 C3:C11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6A7B-DA1A-44FE-A1F0-CA5BE4BD5648}">
  <sheetPr>
    <tabColor rgb="FF00B0F0"/>
  </sheetPr>
  <dimension ref="A1:I4"/>
  <sheetViews>
    <sheetView workbookViewId="0">
      <selection activeCell="B3" sqref="B3"/>
    </sheetView>
  </sheetViews>
  <sheetFormatPr baseColWidth="10" defaultColWidth="8.83203125" defaultRowHeight="16" x14ac:dyDescent="0.2"/>
  <cols>
    <col min="1" max="1" width="36.1640625" customWidth="1"/>
    <col min="2" max="2" width="17.83203125" customWidth="1"/>
    <col min="3" max="10" width="13.1640625" customWidth="1"/>
  </cols>
  <sheetData>
    <row r="1" spans="1:9" ht="22" x14ac:dyDescent="0.3">
      <c r="A1" s="6" t="s">
        <v>46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9" x14ac:dyDescent="0.2">
      <c r="A3" t="s">
        <v>47</v>
      </c>
      <c r="B3" s="19" t="s">
        <v>48</v>
      </c>
      <c r="C3" s="5" t="s">
        <v>25</v>
      </c>
      <c r="D3" s="5" t="s">
        <v>26</v>
      </c>
      <c r="E3" s="13">
        <f>0.05*$I3</f>
        <v>400000</v>
      </c>
      <c r="F3" s="13">
        <f>0.15*$I3</f>
        <v>1200000</v>
      </c>
      <c r="G3" s="13">
        <f>0.2*$I3</f>
        <v>1600000</v>
      </c>
      <c r="H3" s="20">
        <f>0.6*$I3</f>
        <v>4800000</v>
      </c>
      <c r="I3" s="24">
        <v>8000000</v>
      </c>
    </row>
    <row r="4" spans="1:9" x14ac:dyDescent="0.2">
      <c r="A4" t="s">
        <v>49</v>
      </c>
      <c r="B4" s="19" t="s">
        <v>50</v>
      </c>
      <c r="C4" s="5" t="s">
        <v>12</v>
      </c>
      <c r="D4" s="5" t="s">
        <v>13</v>
      </c>
      <c r="E4" s="13">
        <f>0.17*$I4</f>
        <v>204000.00000000003</v>
      </c>
      <c r="F4" s="13">
        <f>0.23*$I4</f>
        <v>276000</v>
      </c>
      <c r="G4" s="13">
        <f>0.25*$I4</f>
        <v>300000</v>
      </c>
      <c r="H4" s="20">
        <f>0.35*$I4</f>
        <v>420000</v>
      </c>
      <c r="I4" s="17">
        <v>1200000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29FC0E-CF69-435B-96EF-61B64F7D0597}">
          <x14:formula1>
            <xm:f>'Options for KPI UT Levels'!$A$2:$A$47</xm:f>
          </x14:formula1>
          <xm:sqref>H1 C3:C4</xm:sqref>
        </x14:dataValidation>
        <x14:dataValidation type="list" allowBlank="1" showInputMessage="1" showErrorMessage="1" xr:uid="{4BF58C85-5E7F-B74D-9177-E4DF79190D62}">
          <x14:formula1>
            <xm:f>'Options for KPI UT Levels'!$B$2:$B$47</xm:f>
          </x14:formula1>
          <xm:sqref>D3:D4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topLeftCell="A14" zoomScaleNormal="100" workbookViewId="0"/>
  </sheetViews>
  <sheetFormatPr baseColWidth="10" defaultColWidth="10.83203125" defaultRowHeight="22" customHeight="1" x14ac:dyDescent="0.2"/>
  <cols>
    <col min="1" max="1" width="33.5" style="4" bestFit="1" customWidth="1"/>
    <col min="2" max="2" width="47.6640625" style="2" bestFit="1" customWidth="1"/>
    <col min="3" max="16384" width="10.83203125" style="2"/>
  </cols>
  <sheetData>
    <row r="1" spans="1:2" ht="22" customHeight="1" x14ac:dyDescent="0.25">
      <c r="A1" s="1" t="s">
        <v>3</v>
      </c>
      <c r="B1" s="1" t="s">
        <v>4</v>
      </c>
    </row>
    <row r="2" spans="1:2" ht="22" customHeight="1" x14ac:dyDescent="0.2">
      <c r="A2" s="21" t="s">
        <v>21</v>
      </c>
      <c r="B2" s="2" t="s">
        <v>51</v>
      </c>
    </row>
    <row r="3" spans="1:2" ht="22" customHeight="1" x14ac:dyDescent="0.2">
      <c r="A3" s="21"/>
      <c r="B3" s="2" t="s">
        <v>22</v>
      </c>
    </row>
    <row r="4" spans="1:2" ht="22" customHeight="1" x14ac:dyDescent="0.2">
      <c r="A4" s="21"/>
      <c r="B4" s="2" t="s">
        <v>52</v>
      </c>
    </row>
    <row r="5" spans="1:2" ht="22" customHeight="1" x14ac:dyDescent="0.2">
      <c r="A5" s="22"/>
      <c r="B5" s="3" t="s">
        <v>53</v>
      </c>
    </row>
    <row r="6" spans="1:2" ht="22" customHeight="1" x14ac:dyDescent="0.2">
      <c r="A6" s="21" t="s">
        <v>12</v>
      </c>
      <c r="B6" s="2" t="s">
        <v>13</v>
      </c>
    </row>
    <row r="7" spans="1:2" ht="22" customHeight="1" x14ac:dyDescent="0.2">
      <c r="A7" s="21"/>
      <c r="B7" s="2" t="s">
        <v>54</v>
      </c>
    </row>
    <row r="8" spans="1:2" ht="22" customHeight="1" x14ac:dyDescent="0.2">
      <c r="A8" s="22"/>
      <c r="B8" s="3" t="s">
        <v>16</v>
      </c>
    </row>
    <row r="9" spans="1:2" ht="22" customHeight="1" x14ac:dyDescent="0.2">
      <c r="A9" s="21" t="s">
        <v>55</v>
      </c>
      <c r="B9" s="2" t="s">
        <v>56</v>
      </c>
    </row>
    <row r="10" spans="1:2" ht="22" customHeight="1" x14ac:dyDescent="0.2">
      <c r="A10" s="21"/>
      <c r="B10" s="2" t="s">
        <v>57</v>
      </c>
    </row>
    <row r="11" spans="1:2" ht="22" customHeight="1" x14ac:dyDescent="0.2">
      <c r="A11" s="22"/>
      <c r="B11" s="3" t="s">
        <v>58</v>
      </c>
    </row>
    <row r="12" spans="1:2" ht="22" customHeight="1" x14ac:dyDescent="0.2">
      <c r="A12" s="21" t="s">
        <v>59</v>
      </c>
      <c r="B12" s="2" t="s">
        <v>60</v>
      </c>
    </row>
    <row r="13" spans="1:2" ht="22" customHeight="1" x14ac:dyDescent="0.2">
      <c r="A13" s="21"/>
      <c r="B13" s="2" t="s">
        <v>61</v>
      </c>
    </row>
    <row r="14" spans="1:2" ht="22" customHeight="1" x14ac:dyDescent="0.2">
      <c r="A14" s="22"/>
      <c r="B14" s="3" t="s">
        <v>62</v>
      </c>
    </row>
    <row r="15" spans="1:2" ht="22" customHeight="1" x14ac:dyDescent="0.2">
      <c r="A15" s="18" t="s">
        <v>63</v>
      </c>
      <c r="B15" s="3" t="s">
        <v>64</v>
      </c>
    </row>
    <row r="16" spans="1:2" ht="22" customHeight="1" x14ac:dyDescent="0.2">
      <c r="A16" s="21" t="s">
        <v>65</v>
      </c>
      <c r="B16" s="2" t="s">
        <v>66</v>
      </c>
    </row>
    <row r="17" spans="1:2" ht="22" customHeight="1" x14ac:dyDescent="0.2">
      <c r="A17" s="21"/>
      <c r="B17" s="2" t="s">
        <v>67</v>
      </c>
    </row>
    <row r="18" spans="1:2" ht="22" customHeight="1" x14ac:dyDescent="0.2">
      <c r="A18" s="21"/>
      <c r="B18" s="2" t="s">
        <v>68</v>
      </c>
    </row>
    <row r="19" spans="1:2" ht="22" customHeight="1" x14ac:dyDescent="0.2">
      <c r="A19" s="22"/>
      <c r="B19" s="3" t="s">
        <v>69</v>
      </c>
    </row>
    <row r="20" spans="1:2" ht="22" customHeight="1" x14ac:dyDescent="0.2">
      <c r="A20" s="18" t="s">
        <v>70</v>
      </c>
      <c r="B20" s="3" t="s">
        <v>71</v>
      </c>
    </row>
    <row r="21" spans="1:2" ht="22" customHeight="1" x14ac:dyDescent="0.2">
      <c r="A21" s="21" t="s">
        <v>25</v>
      </c>
      <c r="B21" s="2" t="s">
        <v>72</v>
      </c>
    </row>
    <row r="22" spans="1:2" ht="22" customHeight="1" x14ac:dyDescent="0.2">
      <c r="A22" s="21"/>
      <c r="B22" s="2" t="s">
        <v>73</v>
      </c>
    </row>
    <row r="23" spans="1:2" ht="22" customHeight="1" x14ac:dyDescent="0.2">
      <c r="A23" s="22"/>
      <c r="B23" s="3" t="s">
        <v>26</v>
      </c>
    </row>
    <row r="24" spans="1:2" ht="22" customHeight="1" x14ac:dyDescent="0.2">
      <c r="A24" s="21" t="s">
        <v>74</v>
      </c>
      <c r="B24" s="2" t="s">
        <v>75</v>
      </c>
    </row>
    <row r="25" spans="1:2" ht="22" customHeight="1" x14ac:dyDescent="0.2">
      <c r="A25" s="21"/>
      <c r="B25" s="2" t="s">
        <v>76</v>
      </c>
    </row>
    <row r="26" spans="1:2" ht="22" customHeight="1" x14ac:dyDescent="0.2">
      <c r="A26" s="21"/>
      <c r="B26" s="2" t="s">
        <v>77</v>
      </c>
    </row>
    <row r="27" spans="1:2" ht="22" customHeight="1" x14ac:dyDescent="0.2">
      <c r="A27" s="21"/>
      <c r="B27" s="2" t="s">
        <v>78</v>
      </c>
    </row>
    <row r="28" spans="1:2" ht="22" customHeight="1" x14ac:dyDescent="0.2">
      <c r="A28" s="21"/>
      <c r="B28" s="2" t="s">
        <v>79</v>
      </c>
    </row>
    <row r="29" spans="1:2" ht="22" customHeight="1" x14ac:dyDescent="0.2">
      <c r="A29" s="21"/>
      <c r="B29" s="2" t="s">
        <v>80</v>
      </c>
    </row>
    <row r="30" spans="1:2" ht="22" customHeight="1" x14ac:dyDescent="0.2">
      <c r="A30" s="21"/>
      <c r="B30" s="2" t="s">
        <v>81</v>
      </c>
    </row>
    <row r="31" spans="1:2" ht="22" customHeight="1" x14ac:dyDescent="0.2">
      <c r="A31" s="22"/>
      <c r="B31" s="3" t="s">
        <v>82</v>
      </c>
    </row>
    <row r="32" spans="1:2" ht="22" customHeight="1" x14ac:dyDescent="0.2">
      <c r="A32" s="21" t="s">
        <v>83</v>
      </c>
      <c r="B32" s="2" t="s">
        <v>84</v>
      </c>
    </row>
    <row r="33" spans="1:2" ht="22" customHeight="1" x14ac:dyDescent="0.2">
      <c r="A33" s="21"/>
      <c r="B33" s="2" t="s">
        <v>85</v>
      </c>
    </row>
    <row r="34" spans="1:2" ht="22" customHeight="1" x14ac:dyDescent="0.2">
      <c r="A34" s="21"/>
      <c r="B34" s="2" t="s">
        <v>86</v>
      </c>
    </row>
    <row r="35" spans="1:2" ht="22" customHeight="1" x14ac:dyDescent="0.2">
      <c r="A35" s="21"/>
      <c r="B35" s="2" t="s">
        <v>87</v>
      </c>
    </row>
    <row r="36" spans="1:2" ht="22" customHeight="1" x14ac:dyDescent="0.2">
      <c r="A36" s="21"/>
      <c r="B36" s="2" t="s">
        <v>88</v>
      </c>
    </row>
    <row r="37" spans="1:2" ht="22" customHeight="1" x14ac:dyDescent="0.2">
      <c r="A37" s="21"/>
      <c r="B37" s="2" t="s">
        <v>89</v>
      </c>
    </row>
    <row r="38" spans="1:2" ht="22" customHeight="1" x14ac:dyDescent="0.2">
      <c r="A38" s="21"/>
      <c r="B38" s="2" t="s">
        <v>90</v>
      </c>
    </row>
    <row r="39" spans="1:2" ht="22" customHeight="1" x14ac:dyDescent="0.2">
      <c r="A39" s="22"/>
      <c r="B39" s="3" t="s">
        <v>91</v>
      </c>
    </row>
    <row r="40" spans="1:2" ht="22" customHeight="1" x14ac:dyDescent="0.2">
      <c r="A40" s="18" t="s">
        <v>92</v>
      </c>
      <c r="B40" s="3" t="s">
        <v>93</v>
      </c>
    </row>
    <row r="41" spans="1:2" ht="22" customHeight="1" x14ac:dyDescent="0.2">
      <c r="A41" s="21" t="s">
        <v>94</v>
      </c>
      <c r="B41" s="2" t="s">
        <v>95</v>
      </c>
    </row>
    <row r="42" spans="1:2" ht="22" customHeight="1" x14ac:dyDescent="0.2">
      <c r="A42" s="22"/>
      <c r="B42" s="3" t="s">
        <v>96</v>
      </c>
    </row>
    <row r="43" spans="1:2" ht="22" customHeight="1" x14ac:dyDescent="0.2">
      <c r="A43" s="21" t="s">
        <v>97</v>
      </c>
      <c r="B43" s="2" t="s">
        <v>98</v>
      </c>
    </row>
    <row r="44" spans="1:2" ht="22" customHeight="1" x14ac:dyDescent="0.2">
      <c r="A44" s="22"/>
      <c r="B44" s="3" t="s">
        <v>99</v>
      </c>
    </row>
    <row r="45" spans="1:2" ht="22" customHeight="1" x14ac:dyDescent="0.2">
      <c r="A45" s="21" t="s">
        <v>100</v>
      </c>
      <c r="B45" s="2" t="s">
        <v>101</v>
      </c>
    </row>
    <row r="46" spans="1:2" ht="22" customHeight="1" x14ac:dyDescent="0.2">
      <c r="A46" s="21"/>
      <c r="B46" s="2" t="s">
        <v>102</v>
      </c>
    </row>
    <row r="47" spans="1:2" ht="22" customHeight="1" x14ac:dyDescent="0.2">
      <c r="A47" s="22"/>
      <c r="B47" s="3" t="s">
        <v>103</v>
      </c>
    </row>
  </sheetData>
  <mergeCells count="11">
    <mergeCell ref="A24:A31"/>
    <mergeCell ref="A32:A39"/>
    <mergeCell ref="A41:A42"/>
    <mergeCell ref="A43:A44"/>
    <mergeCell ref="A45:A47"/>
    <mergeCell ref="A21:A23"/>
    <mergeCell ref="A2:A5"/>
    <mergeCell ref="A6:A8"/>
    <mergeCell ref="A9:A11"/>
    <mergeCell ref="A12:A14"/>
    <mergeCell ref="A16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D7" sqref="D7"/>
    </sheetView>
  </sheetViews>
  <sheetFormatPr baseColWidth="10" defaultColWidth="8.83203125" defaultRowHeight="16" x14ac:dyDescent="0.2"/>
  <cols>
    <col min="1" max="1" width="24.83203125" customWidth="1"/>
  </cols>
  <sheetData>
    <row r="1" spans="1:5" x14ac:dyDescent="0.2">
      <c r="A1" s="8"/>
      <c r="B1" s="23" t="s">
        <v>104</v>
      </c>
      <c r="C1" s="23"/>
      <c r="D1" s="23"/>
      <c r="E1" s="23"/>
    </row>
    <row r="2" spans="1:5" x14ac:dyDescent="0.2">
      <c r="A2" s="9"/>
      <c r="B2" s="10" t="s">
        <v>5</v>
      </c>
      <c r="C2" s="10" t="s">
        <v>105</v>
      </c>
      <c r="D2" s="10" t="s">
        <v>7</v>
      </c>
      <c r="E2" s="10" t="s">
        <v>8</v>
      </c>
    </row>
    <row r="3" spans="1:5" x14ac:dyDescent="0.2">
      <c r="A3" s="11" t="s">
        <v>106</v>
      </c>
      <c r="B3" s="12">
        <v>0.17</v>
      </c>
      <c r="C3" s="12">
        <v>0.23</v>
      </c>
      <c r="D3" s="12">
        <v>0.25</v>
      </c>
      <c r="E3" s="12">
        <v>0.35</v>
      </c>
    </row>
    <row r="4" spans="1:5" x14ac:dyDescent="0.2">
      <c r="A4" s="11" t="s">
        <v>107</v>
      </c>
      <c r="B4" s="12">
        <v>0.1</v>
      </c>
      <c r="C4" s="12">
        <v>0.21</v>
      </c>
      <c r="D4" s="12">
        <v>0.3</v>
      </c>
      <c r="E4" s="12">
        <v>0.39</v>
      </c>
    </row>
    <row r="5" spans="1:5" x14ac:dyDescent="0.2">
      <c r="A5" s="11" t="s">
        <v>108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Props1.xml><?xml version="1.0" encoding="utf-8"?>
<ds:datastoreItem xmlns:ds="http://schemas.openxmlformats.org/officeDocument/2006/customXml" ds:itemID="{72985BAC-01DD-4D79-81D2-7D306B72E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32e1f-123a-43d1-921b-7c05729cf1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308CB8-6F41-47A1-A7FA-F6896EEA67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8C4767-4D22-45B1-BCBF-E6BA997C4D9A}">
  <ds:schemaRefs>
    <ds:schemaRef ds:uri="http://schemas.microsoft.com/office/2006/metadata/properties"/>
    <ds:schemaRef ds:uri="http://schemas.microsoft.com/office/infopath/2007/PartnerControls"/>
    <ds:schemaRef ds:uri="e0232e1f-123a-43d1-921b-7c05729cf1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Q2 Projections</vt:lpstr>
      <vt:lpstr>Q3 Projections</vt:lpstr>
      <vt:lpstr>Q4 Projections</vt:lpstr>
      <vt:lpstr>Options for KPI UT Levels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SAMIR CORRALES HERNANDEZ</cp:lastModifiedBy>
  <cp:revision/>
  <dcterms:created xsi:type="dcterms:W3CDTF">2026-02-19T16:21:33Z</dcterms:created>
  <dcterms:modified xsi:type="dcterms:W3CDTF">2026-07-22T21:21:51Z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