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/Users/angelawarner/Library/Mobile Documents/com~apple~CloudDocs/Documents/"/>
    </mc:Choice>
  </mc:AlternateContent>
  <xr:revisionPtr revIDLastSave="161" documentId="8_{CA5B553F-3434-E94B-B6CF-B16828AE7A01}" xr6:coauthVersionLast="47" xr6:coauthVersionMax="47" xr10:uidLastSave="{4DF8F0DA-5D62-407A-9FD4-D1296144B092}"/>
  <bookViews>
    <workbookView xWindow="0" yWindow="620" windowWidth="38400" windowHeight="19960" firstSheet="2" activeTab="1" xr2:uid="{34DAB5B8-0534-154D-B765-6F9AFE0242E3}"/>
  </bookViews>
  <sheets>
    <sheet name="Q2 Projections" sheetId="2" r:id="rId1"/>
    <sheet name="Q3 Projections" sheetId="4" r:id="rId2"/>
    <sheet name="Q4 Projections" sheetId="5" r:id="rId3"/>
    <sheet name="Options for KPI UT Levels" sheetId="1" r:id="rId4"/>
    <sheet name="Sheet1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4" l="1"/>
  <c r="I14" i="4"/>
  <c r="I13" i="4"/>
  <c r="I12" i="4"/>
  <c r="I11" i="4"/>
  <c r="I10" i="4"/>
  <c r="I9" i="4"/>
  <c r="I8" i="4"/>
  <c r="I7" i="4"/>
  <c r="I6" i="4"/>
  <c r="I5" i="4"/>
  <c r="I4" i="4"/>
  <c r="I3" i="4"/>
  <c r="I9" i="5"/>
  <c r="I6" i="5"/>
  <c r="I5" i="5"/>
  <c r="I3" i="5"/>
  <c r="I14" i="5"/>
  <c r="I4" i="5" l="1"/>
  <c r="I7" i="5" s="1"/>
  <c r="I8" i="5" s="1"/>
</calcChain>
</file>

<file path=xl/sharedStrings.xml><?xml version="1.0" encoding="utf-8"?>
<sst xmlns="http://schemas.openxmlformats.org/spreadsheetml/2006/main" count="242" uniqueCount="148">
  <si>
    <t>US Public Market Q2 KPI Projections</t>
  </si>
  <si>
    <t>Event name</t>
  </si>
  <si>
    <t>Brief</t>
  </si>
  <si>
    <t>UT 15</t>
  </si>
  <si>
    <t>UT 17</t>
  </si>
  <si>
    <t>CQ</t>
  </si>
  <si>
    <t>NQ</t>
  </si>
  <si>
    <t>NQ+1</t>
  </si>
  <si>
    <t>NQ+2</t>
  </si>
  <si>
    <t>New York IT Leadership Forum &amp; Roundtable 2026</t>
  </si>
  <si>
    <t>O9ZXKFMB</t>
  </si>
  <si>
    <t>Data Platform</t>
  </si>
  <si>
    <t>Data Fabric</t>
  </si>
  <si>
    <t>California Public Sector CIO Academy 2026</t>
  </si>
  <si>
    <t>F6TVMRMB</t>
  </si>
  <si>
    <t>HCLS Innovation Exchange Webinar #1</t>
  </si>
  <si>
    <t>WE97VOMB</t>
  </si>
  <si>
    <t>NASCIO MidYear Conference 2026</t>
  </si>
  <si>
    <t>C0CREDMB</t>
  </si>
  <si>
    <t>Not expecting leads</t>
  </si>
  <si>
    <t>HCLS Executive Luncheon @ THINK</t>
  </si>
  <si>
    <t>3PJ4MVMB</t>
  </si>
  <si>
    <t xml:space="preserve"> </t>
  </si>
  <si>
    <t>Chicago Regional Digital Government Summit &amp; Roundtable  2026</t>
  </si>
  <si>
    <t>WE19PUMB</t>
  </si>
  <si>
    <t>US EndPoints Pharma and Biotech Summit</t>
  </si>
  <si>
    <t>2XQ8DZMB</t>
  </si>
  <si>
    <t>AI Productivity</t>
  </si>
  <si>
    <t>Reuters Digital Health</t>
  </si>
  <si>
    <t>XCH5W0MB</t>
  </si>
  <si>
    <t>Secure &amp; Store: Innovations for a Resilient Future</t>
  </si>
  <si>
    <t>35UNBCMB</t>
  </si>
  <si>
    <t>Storage HW</t>
  </si>
  <si>
    <t>Security Threat Management</t>
  </si>
  <si>
    <t>Texas Digital Government Summit &amp; Roundtable 2026</t>
  </si>
  <si>
    <t>EPTK1OMB</t>
  </si>
  <si>
    <t>Florida Digital Government Summit &amp; Roundtable 2026</t>
  </si>
  <si>
    <t>8QOUE1MB</t>
  </si>
  <si>
    <t>New York City IT Leadership Forum 2026</t>
  </si>
  <si>
    <t>4GVBJTMB</t>
  </si>
  <si>
    <t>Missouri Digital Gov't Summit</t>
  </si>
  <si>
    <t>BP08FZMB</t>
  </si>
  <si>
    <t>Georgia Digital Gov't Summit</t>
  </si>
  <si>
    <t>MB5FZUMB</t>
  </si>
  <si>
    <t>US Public Market Q3 KPI Projections</t>
  </si>
  <si>
    <t>Totals</t>
  </si>
  <si>
    <t>NACo Annual Conference 2026</t>
  </si>
  <si>
    <t>OZB4E7MB</t>
  </si>
  <si>
    <t>Strategy &amp; Technology</t>
  </si>
  <si>
    <t>Strategy &amp; Transformation</t>
  </si>
  <si>
    <t>Los Angeles Digital Government Summit &amp; Roundtable 2026</t>
  </si>
  <si>
    <t>W3MV6EMB</t>
  </si>
  <si>
    <t>Minnesota Digital Government Summit 2026</t>
  </si>
  <si>
    <t>K90AMXMB</t>
  </si>
  <si>
    <t>EndPoints News Webinar</t>
  </si>
  <si>
    <t>WC1T8TMB</t>
  </si>
  <si>
    <t>Georgia Digital Government Summit 2026</t>
  </si>
  <si>
    <t>California Government Technology Summit &amp; Roundtable 2026</t>
  </si>
  <si>
    <t>ZJFNBKMB</t>
  </si>
  <si>
    <t>HCLS Senior Leadership Exchange</t>
  </si>
  <si>
    <t>5LYBOVMB</t>
  </si>
  <si>
    <t>Automation Platform</t>
  </si>
  <si>
    <t>Cybersecurity</t>
  </si>
  <si>
    <t>Ohio Digital Government Summit 2026</t>
  </si>
  <si>
    <t>JGGELIMB</t>
  </si>
  <si>
    <t>New York Digital Government Summit 2026</t>
  </si>
  <si>
    <t>XGQDLMMB</t>
  </si>
  <si>
    <t>NASCIO Annual Conference 2026</t>
  </si>
  <si>
    <t>81APPVMB</t>
  </si>
  <si>
    <t>Blue Cross Blue Shield North Carolina - 12th Annual Innovation Summit</t>
  </si>
  <si>
    <t>V2PKGMMB</t>
  </si>
  <si>
    <t>Cleveland Clinic AI Summit</t>
  </si>
  <si>
    <t>H5ERH8MB</t>
  </si>
  <si>
    <t>Michigan Digital Government Summit 2026</t>
  </si>
  <si>
    <t>52GXP0MB</t>
  </si>
  <si>
    <t>US Public Market Q4 KPI Projections</t>
  </si>
  <si>
    <t>Reuters Total Health 2026</t>
  </si>
  <si>
    <t>L37JAJMB</t>
  </si>
  <si>
    <t>Reuters Pharma Customer Engagement 2026</t>
  </si>
  <si>
    <t>8UA42BMB</t>
  </si>
  <si>
    <t>HLTH (Health) 2026</t>
  </si>
  <si>
    <t>3BF4XZMB</t>
  </si>
  <si>
    <t>Illinois Digital Government Summit &amp; Roundtable 2026</t>
  </si>
  <si>
    <t>R6Y1QXMB</t>
  </si>
  <si>
    <t>Texas IT Leadership Forum 2026</t>
  </si>
  <si>
    <t>9XJ4BMMB</t>
  </si>
  <si>
    <t>New York City Technology Forum 2026</t>
  </si>
  <si>
    <t>39XM14MB</t>
  </si>
  <si>
    <t>Washington Digital Government Summit 2026</t>
  </si>
  <si>
    <t>WYRYI1MB</t>
  </si>
  <si>
    <t>Michigan Cyber Summit 2026 - CANCELLED</t>
  </si>
  <si>
    <t>gav the emb to Washing DGS</t>
  </si>
  <si>
    <t>Application Development &amp; Integration</t>
  </si>
  <si>
    <t>Infrastructure Automation</t>
  </si>
  <si>
    <t>Technology Business Management</t>
  </si>
  <si>
    <t>AI/ML Ops</t>
  </si>
  <si>
    <t>Intelligent Operations</t>
  </si>
  <si>
    <t>Application Operations</t>
  </si>
  <si>
    <t>Business Operations</t>
  </si>
  <si>
    <t>Power HW</t>
  </si>
  <si>
    <t>AIX / IBM i Market</t>
  </si>
  <si>
    <t>Cognitive Infrastructure Market</t>
  </si>
  <si>
    <t>Enterprise Linux Market</t>
  </si>
  <si>
    <t>Power TPS</t>
  </si>
  <si>
    <t>Power TPS Market</t>
  </si>
  <si>
    <t>Public Cloud Platform</t>
  </si>
  <si>
    <t>Public Cloud Contracts</t>
  </si>
  <si>
    <t>Public Cloud IaaS</t>
  </si>
  <si>
    <t>Public Cloud PaaS</t>
  </si>
  <si>
    <t>Public Cloud TEL &amp; Support</t>
  </si>
  <si>
    <t>Quantum</t>
  </si>
  <si>
    <t>Quantum Market</t>
  </si>
  <si>
    <t>Business Applications</t>
  </si>
  <si>
    <t>Hybrid Cloud &amp; Data</t>
  </si>
  <si>
    <t>Storage Networking Market</t>
  </si>
  <si>
    <t>Storage Operations / Services Market</t>
  </si>
  <si>
    <t>Storage Tape Market</t>
  </si>
  <si>
    <t>Storage for Data Resiliency Market</t>
  </si>
  <si>
    <t>Storage for Data and AI Market</t>
  </si>
  <si>
    <t>Storage for Hybrid Cloud Market</t>
  </si>
  <si>
    <t>Storage for Primary Block Market</t>
  </si>
  <si>
    <t>Traditional Distributed External Storage Market</t>
  </si>
  <si>
    <t>Storage TPS</t>
  </si>
  <si>
    <t>Storage Networking SW Market</t>
  </si>
  <si>
    <t>Storage Operations / Services SW Market</t>
  </si>
  <si>
    <t>Storage Tape SW Market</t>
  </si>
  <si>
    <t>Storage for Data Resiliency SW Market</t>
  </si>
  <si>
    <t>Storage for Data and AI SW Market</t>
  </si>
  <si>
    <t>Storage for Hybrid Cloud SW Market</t>
  </si>
  <si>
    <t>Storage for Primary Block SW Market</t>
  </si>
  <si>
    <t>Traditional Distributed External Storage SW Market</t>
  </si>
  <si>
    <t>Talent Management Solutions</t>
  </si>
  <si>
    <t>Cognitive Talent Management</t>
  </si>
  <si>
    <t>Technology Lifecycle Services</t>
  </si>
  <si>
    <t>IBM Systems Services</t>
  </si>
  <si>
    <t>Multivendor Services</t>
  </si>
  <si>
    <t>Z HW</t>
  </si>
  <si>
    <t>IBM Z and LinuxONE Hardware</t>
  </si>
  <si>
    <t>System Software HW</t>
  </si>
  <si>
    <t>Z TPS</t>
  </si>
  <si>
    <t>Z Application Development</t>
  </si>
  <si>
    <t>Z IT Operations Management</t>
  </si>
  <si>
    <t>zTPS Operations / Services Market</t>
  </si>
  <si>
    <t>2025 Landing Qtr Average</t>
  </si>
  <si>
    <t xml:space="preserve">NQ </t>
  </si>
  <si>
    <t>Software</t>
  </si>
  <si>
    <t>Infrastructure</t>
  </si>
  <si>
    <t>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</si>
</sst>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10">
    <font>
      <sz val="12"/>
      <color theme="1"/>
      <name val="Aptos Narrow"/>
      <family val="2"/>
      <scheme val="minor"/>
    </font>
    <font>
      <sz val="12"/>
      <color theme="1"/>
      <name val="IBM Plex Sans"/>
      <family val="2"/>
    </font>
    <font>
      <sz val="14"/>
      <color theme="1"/>
      <name val="IBM Plex Sans"/>
      <family val="2"/>
    </font>
    <font>
      <u/>
      <sz val="14"/>
      <color theme="1"/>
      <name val="IBM Plex Sans"/>
      <family val="2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name val="Tahoma"/>
      <family val="2"/>
    </font>
    <font>
      <sz val="10"/>
      <color theme="0"/>
      <name val="Tahoma"/>
      <family val="2"/>
    </font>
    <font>
      <sz val="12"/>
      <color rgb="FFFF0000"/>
      <name val="Aptos Narrow"/>
      <family val="2"/>
      <scheme val="minor"/>
    </font>
    <font>
      <sz val="10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2" xfId="0" applyBorder="1"/>
    <xf numFmtId="0" fontId="5" fillId="3" borderId="2" xfId="0" applyFont="1" applyFill="1" applyBorder="1"/>
    <xf numFmtId="0" fontId="4" fillId="0" borderId="2" xfId="0" applyFont="1" applyBorder="1"/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7" fillId="4" borderId="3" xfId="0" applyFont="1" applyFill="1" applyBorder="1" applyAlignment="1">
      <alignment horizontal="right" vertical="center"/>
    </xf>
    <xf numFmtId="0" fontId="0" fillId="5" borderId="0" xfId="0" applyFill="1" applyAlignment="1">
      <alignment horizontal="right"/>
    </xf>
    <xf numFmtId="9" fontId="0" fillId="5" borderId="0" xfId="0" applyNumberFormat="1" applyFill="1"/>
    <xf numFmtId="164" fontId="0" fillId="0" borderId="0" xfId="0" applyNumberFormat="1" applyAlignment="1">
      <alignment vertical="center"/>
    </xf>
    <xf numFmtId="3" fontId="0" fillId="0" borderId="2" xfId="0" applyNumberFormat="1" applyBorder="1"/>
    <xf numFmtId="0" fontId="0" fillId="6" borderId="2" xfId="0" applyFill="1" applyBorder="1"/>
    <xf numFmtId="0" fontId="0" fillId="0" borderId="2" xfId="0" applyFill="1" applyBorder="1"/>
    <xf numFmtId="0" fontId="0" fillId="0" borderId="0" xfId="0" applyFill="1"/>
    <xf numFmtId="164" fontId="0" fillId="0" borderId="0" xfId="0" applyNumberFormat="1" applyFill="1" applyAlignment="1">
      <alignment vertical="center"/>
    </xf>
    <xf numFmtId="164" fontId="0" fillId="0" borderId="2" xfId="0" applyNumberFormat="1" applyBorder="1"/>
    <xf numFmtId="0" fontId="0" fillId="2" borderId="2" xfId="0" applyFill="1" applyBorder="1"/>
    <xf numFmtId="3" fontId="0" fillId="0" borderId="0" xfId="0" applyNumberFormat="1"/>
    <xf numFmtId="164" fontId="0" fillId="0" borderId="0" xfId="0" applyNumberFormat="1"/>
    <xf numFmtId="0" fontId="0" fillId="7" borderId="0" xfId="0" applyFill="1"/>
    <xf numFmtId="0" fontId="8" fillId="7" borderId="0" xfId="0" applyFont="1" applyFill="1"/>
    <xf numFmtId="0" fontId="8" fillId="0" borderId="0" xfId="0" applyFont="1"/>
    <xf numFmtId="0" fontId="8" fillId="0" borderId="2" xfId="0" applyFont="1" applyBorder="1"/>
    <xf numFmtId="3" fontId="8" fillId="0" borderId="2" xfId="0" applyNumberFormat="1" applyFont="1" applyBorder="1"/>
    <xf numFmtId="3" fontId="8" fillId="0" borderId="0" xfId="0" applyNumberFormat="1" applyFont="1"/>
    <xf numFmtId="6" fontId="9" fillId="0" borderId="0" xfId="0" applyNumberFormat="1" applyFont="1" applyFill="1" applyBorder="1" applyAlignment="1"/>
    <xf numFmtId="0" fontId="2" fillId="0" borderId="1" xfId="0" applyFont="1" applyBorder="1" applyAlignment="1">
      <alignment horizontal="left" vertical="center"/>
    </xf>
    <xf numFmtId="0" fontId="0" fillId="8" borderId="2" xfId="0" applyFill="1" applyBorder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164" fontId="0" fillId="0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9637-199A-4342-94B6-656FD616A422}">
  <sheetPr>
    <tabColor rgb="FFFFC000"/>
  </sheetPr>
  <dimension ref="A1:I16"/>
  <sheetViews>
    <sheetView workbookViewId="0">
      <selection activeCell="E10" sqref="E10:H10"/>
    </sheetView>
  </sheetViews>
  <sheetFormatPr defaultColWidth="8.625" defaultRowHeight="15.95"/>
  <cols>
    <col min="1" max="1" width="55.875" style="5" customWidth="1"/>
    <col min="2" max="2" width="19.375" style="5" customWidth="1"/>
    <col min="3" max="4" width="24.5" style="5" customWidth="1"/>
    <col min="5" max="8" width="18.125" style="5" customWidth="1"/>
    <col min="9" max="9" width="28" style="5" customWidth="1"/>
    <col min="10" max="16384" width="8.625" style="5"/>
  </cols>
  <sheetData>
    <row r="1" spans="1:9" s="6" customFormat="1" ht="21.95">
      <c r="A1" s="6" t="s">
        <v>0</v>
      </c>
    </row>
    <row r="2" spans="1:9" s="7" customFormat="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pans="1:9">
      <c r="A3" s="5" t="s">
        <v>9</v>
      </c>
      <c r="B3" s="5" t="s">
        <v>10</v>
      </c>
      <c r="C3" s="5" t="s">
        <v>11</v>
      </c>
      <c r="D3" s="5" t="s">
        <v>12</v>
      </c>
      <c r="E3" s="5">
        <v>85000</v>
      </c>
      <c r="F3" s="5">
        <v>115000</v>
      </c>
      <c r="G3" s="5">
        <v>125000</v>
      </c>
      <c r="H3" s="5">
        <v>175000</v>
      </c>
    </row>
    <row r="4" spans="1:9">
      <c r="A4" s="5" t="s">
        <v>13</v>
      </c>
      <c r="B4" s="5" t="s">
        <v>14</v>
      </c>
      <c r="C4" s="5" t="s">
        <v>11</v>
      </c>
      <c r="D4" s="5" t="s">
        <v>12</v>
      </c>
      <c r="E4" s="13">
        <v>179765.15898058255</v>
      </c>
      <c r="F4" s="13">
        <v>243211.68567961169</v>
      </c>
      <c r="G4" s="13">
        <v>264360.52791262139</v>
      </c>
      <c r="H4" s="13">
        <v>370104.73907766992</v>
      </c>
    </row>
    <row r="5" spans="1:9">
      <c r="A5" s="5" t="s">
        <v>15</v>
      </c>
      <c r="B5" s="5" t="s">
        <v>16</v>
      </c>
      <c r="C5" s="5" t="s">
        <v>11</v>
      </c>
      <c r="D5" s="5" t="s">
        <v>12</v>
      </c>
      <c r="E5" s="5">
        <v>85000</v>
      </c>
      <c r="F5" s="5">
        <v>115000</v>
      </c>
      <c r="G5" s="5">
        <v>125000</v>
      </c>
      <c r="H5" s="5">
        <v>175000</v>
      </c>
    </row>
    <row r="6" spans="1:9">
      <c r="A6" s="5" t="s">
        <v>17</v>
      </c>
      <c r="B6" s="15" t="s">
        <v>18</v>
      </c>
      <c r="C6" s="5" t="s">
        <v>11</v>
      </c>
      <c r="D6" s="5" t="s">
        <v>12</v>
      </c>
      <c r="E6" s="5">
        <v>0</v>
      </c>
      <c r="F6" s="5">
        <v>0</v>
      </c>
      <c r="G6" s="5">
        <v>0</v>
      </c>
      <c r="H6" s="5">
        <v>0</v>
      </c>
      <c r="I6" s="5" t="s">
        <v>19</v>
      </c>
    </row>
    <row r="7" spans="1:9">
      <c r="A7" s="5" t="s">
        <v>20</v>
      </c>
      <c r="B7" s="15" t="s">
        <v>21</v>
      </c>
      <c r="C7" s="5" t="s">
        <v>11</v>
      </c>
      <c r="D7" s="5" t="s">
        <v>12</v>
      </c>
      <c r="E7" s="14">
        <v>142085</v>
      </c>
      <c r="F7" s="14">
        <v>192232</v>
      </c>
      <c r="G7" s="14">
        <v>208949</v>
      </c>
      <c r="H7" s="14">
        <v>292528</v>
      </c>
      <c r="I7" s="5" t="s">
        <v>22</v>
      </c>
    </row>
    <row r="8" spans="1:9">
      <c r="A8" s="5" t="s">
        <v>23</v>
      </c>
      <c r="B8" s="5" t="s">
        <v>24</v>
      </c>
      <c r="C8" s="5" t="s">
        <v>11</v>
      </c>
      <c r="D8" s="5" t="s">
        <v>12</v>
      </c>
      <c r="E8" s="13">
        <v>113365.65260000002</v>
      </c>
      <c r="F8" s="13">
        <v>153377.05940000003</v>
      </c>
      <c r="G8" s="13">
        <v>166714.19500000001</v>
      </c>
      <c r="H8" s="13">
        <v>233399.87299999999</v>
      </c>
    </row>
    <row r="9" spans="1:9">
      <c r="A9" s="5" t="s">
        <v>25</v>
      </c>
      <c r="B9" s="5" t="s">
        <v>26</v>
      </c>
      <c r="C9" s="5" t="s">
        <v>11</v>
      </c>
      <c r="D9" s="5" t="s">
        <v>27</v>
      </c>
      <c r="E9" s="13">
        <v>113365.65260000002</v>
      </c>
      <c r="F9" s="13">
        <v>153377.05940000003</v>
      </c>
      <c r="G9" s="13">
        <v>166714.19500000001</v>
      </c>
      <c r="H9" s="13">
        <v>233399.87299999999</v>
      </c>
    </row>
    <row r="10" spans="1:9">
      <c r="A10" s="5" t="s">
        <v>28</v>
      </c>
      <c r="B10" s="5" t="s">
        <v>29</v>
      </c>
      <c r="C10" s="5" t="s">
        <v>11</v>
      </c>
      <c r="D10" s="5" t="s">
        <v>27</v>
      </c>
      <c r="E10" s="13">
        <v>113365.65260000002</v>
      </c>
      <c r="F10" s="13">
        <v>153377.05940000003</v>
      </c>
      <c r="G10" s="13">
        <v>166714.19500000001</v>
      </c>
      <c r="H10" s="13">
        <v>233399.87299999999</v>
      </c>
    </row>
    <row r="11" spans="1:9">
      <c r="A11" s="5" t="s">
        <v>30</v>
      </c>
      <c r="B11" s="5" t="s">
        <v>31</v>
      </c>
      <c r="C11" s="5" t="s">
        <v>32</v>
      </c>
      <c r="D11" s="5" t="s">
        <v>33</v>
      </c>
      <c r="E11" s="5">
        <v>85000</v>
      </c>
      <c r="F11" s="5">
        <v>115000</v>
      </c>
      <c r="G11" s="5">
        <v>125000</v>
      </c>
      <c r="H11" s="5">
        <v>175000</v>
      </c>
    </row>
    <row r="12" spans="1:9">
      <c r="A12" s="5" t="s">
        <v>34</v>
      </c>
      <c r="B12" s="5" t="s">
        <v>35</v>
      </c>
      <c r="C12" s="5" t="s">
        <v>11</v>
      </c>
      <c r="D12" s="5" t="s">
        <v>12</v>
      </c>
      <c r="E12" s="5">
        <v>85000</v>
      </c>
      <c r="F12" s="5">
        <v>115000</v>
      </c>
      <c r="G12" s="5">
        <v>125000</v>
      </c>
      <c r="H12" s="5">
        <v>175000</v>
      </c>
    </row>
    <row r="13" spans="1:9">
      <c r="A13" s="5" t="s">
        <v>36</v>
      </c>
      <c r="B13" s="5" t="s">
        <v>37</v>
      </c>
      <c r="C13" s="5" t="s">
        <v>11</v>
      </c>
      <c r="D13" s="5" t="s">
        <v>12</v>
      </c>
      <c r="E13" s="13">
        <v>89562.544999999984</v>
      </c>
      <c r="F13" s="13">
        <v>121172.85499999998</v>
      </c>
      <c r="G13" s="13">
        <v>131709.62499999997</v>
      </c>
      <c r="H13" s="13">
        <v>184393.47499999995</v>
      </c>
    </row>
    <row r="14" spans="1:9">
      <c r="A14" s="5" t="s">
        <v>38</v>
      </c>
      <c r="B14" s="5" t="s">
        <v>39</v>
      </c>
      <c r="C14" s="5" t="s">
        <v>11</v>
      </c>
      <c r="D14" s="5" t="s">
        <v>12</v>
      </c>
      <c r="E14" s="5">
        <v>85000</v>
      </c>
      <c r="F14" s="5">
        <v>115000</v>
      </c>
      <c r="G14" s="5">
        <v>125000</v>
      </c>
      <c r="H14" s="5">
        <v>175000</v>
      </c>
    </row>
    <row r="15" spans="1:9">
      <c r="A15" s="5" t="s">
        <v>40</v>
      </c>
      <c r="B15" s="15" t="s">
        <v>41</v>
      </c>
      <c r="C15" s="5" t="s">
        <v>11</v>
      </c>
      <c r="D15" s="5" t="s">
        <v>12</v>
      </c>
      <c r="E15" s="14">
        <v>142085</v>
      </c>
      <c r="F15" s="14">
        <v>192232</v>
      </c>
      <c r="G15" s="14">
        <v>208949</v>
      </c>
      <c r="H15" s="14">
        <v>292528</v>
      </c>
    </row>
    <row r="16" spans="1:9">
      <c r="A16" s="5" t="s">
        <v>42</v>
      </c>
      <c r="B16" s="15" t="s">
        <v>43</v>
      </c>
      <c r="C16" s="5" t="s">
        <v>11</v>
      </c>
      <c r="D16" s="5" t="s">
        <v>12</v>
      </c>
      <c r="E16" s="14">
        <v>142085</v>
      </c>
      <c r="F16" s="14">
        <v>192232</v>
      </c>
      <c r="G16" s="14">
        <v>208949</v>
      </c>
      <c r="H16" s="14">
        <v>292528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49A1574-27FC-424E-9445-8C8D701658D2}">
          <x14:formula1>
            <xm:f>'Options for KPI UT Levels'!$A$2:$A$47</xm:f>
          </x14:formula1>
          <xm:sqref>H1 C3:C457</xm:sqref>
        </x14:dataValidation>
        <x14:dataValidation type="list" allowBlank="1" showInputMessage="1" showErrorMessage="1" xr:uid="{DBC7447C-57D1-41AF-B182-99CB007A7812}">
          <x14:formula1>
            <xm:f>'Options for KPI UT Levels'!$B$2:$B$47</xm:f>
          </x14:formula1>
          <xm:sqref>D3:D819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534DB-73A3-4463-B2B4-52605F19D3D4}">
  <sheetPr>
    <tabColor rgb="FF92D050"/>
  </sheetPr>
  <dimension ref="A1:I15"/>
  <sheetViews>
    <sheetView tabSelected="1" workbookViewId="0">
      <selection activeCell="D11" sqref="D11"/>
    </sheetView>
  </sheetViews>
  <sheetFormatPr defaultRowHeight="15.75"/>
  <cols>
    <col min="1" max="1" width="43.25" customWidth="1"/>
    <col min="2" max="2" width="14" customWidth="1"/>
    <col min="3" max="3" width="18" customWidth="1"/>
    <col min="4" max="4" width="27.125" customWidth="1"/>
    <col min="5" max="8" width="13.875" customWidth="1"/>
    <col min="9" max="9" width="25.875" customWidth="1"/>
  </cols>
  <sheetData>
    <row r="1" spans="1:9" ht="21">
      <c r="A1" s="6" t="s">
        <v>44</v>
      </c>
      <c r="B1" s="6"/>
      <c r="C1" s="6"/>
      <c r="D1" s="6"/>
      <c r="E1" s="6"/>
      <c r="F1" s="6"/>
      <c r="G1" s="6"/>
      <c r="H1" s="6"/>
      <c r="I1" s="6"/>
    </row>
    <row r="2" spans="1:9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45</v>
      </c>
    </row>
    <row r="3" spans="1:9" s="17" customFormat="1">
      <c r="A3" s="16" t="s">
        <v>46</v>
      </c>
      <c r="B3" s="20" t="s">
        <v>47</v>
      </c>
      <c r="C3" s="16" t="s">
        <v>48</v>
      </c>
      <c r="D3" s="16" t="s">
        <v>49</v>
      </c>
      <c r="E3" s="19">
        <v>85000</v>
      </c>
      <c r="F3" s="19">
        <v>115000</v>
      </c>
      <c r="G3" s="19">
        <v>125000</v>
      </c>
      <c r="H3" s="19">
        <v>175000</v>
      </c>
      <c r="I3" s="35">
        <f>SUM(E3:H3)</f>
        <v>500000</v>
      </c>
    </row>
    <row r="4" spans="1:9" s="17" customFormat="1">
      <c r="A4" s="16" t="s">
        <v>50</v>
      </c>
      <c r="B4" s="20" t="s">
        <v>51</v>
      </c>
      <c r="C4" s="5" t="s">
        <v>11</v>
      </c>
      <c r="D4" s="5" t="s">
        <v>12</v>
      </c>
      <c r="E4" s="13">
        <v>179765.15898058255</v>
      </c>
      <c r="F4" s="13">
        <v>243211.68567961169</v>
      </c>
      <c r="G4" s="13">
        <v>264360.52791262139</v>
      </c>
      <c r="H4" s="13">
        <v>370104.73907766992</v>
      </c>
      <c r="I4" s="35">
        <f t="shared" ref="I4:I14" si="0">SUM(E4:H4)</f>
        <v>1057442.1116504855</v>
      </c>
    </row>
    <row r="5" spans="1:9" s="17" customFormat="1">
      <c r="A5" s="16" t="s">
        <v>52</v>
      </c>
      <c r="B5" s="20" t="s">
        <v>53</v>
      </c>
      <c r="C5" s="5" t="s">
        <v>11</v>
      </c>
      <c r="D5" s="5" t="s">
        <v>27</v>
      </c>
      <c r="E5" s="14">
        <v>142085</v>
      </c>
      <c r="F5" s="14">
        <v>192232</v>
      </c>
      <c r="G5" s="14">
        <v>208949</v>
      </c>
      <c r="H5" s="14">
        <v>292528</v>
      </c>
      <c r="I5" s="35">
        <f t="shared" si="0"/>
        <v>835794</v>
      </c>
    </row>
    <row r="6" spans="1:9" s="17" customFormat="1">
      <c r="A6" s="16" t="s">
        <v>54</v>
      </c>
      <c r="B6" s="20" t="s">
        <v>55</v>
      </c>
      <c r="C6" s="5" t="s">
        <v>11</v>
      </c>
      <c r="D6" s="5" t="s">
        <v>27</v>
      </c>
      <c r="E6" s="13">
        <v>113365.65260000002</v>
      </c>
      <c r="F6" s="13">
        <v>153377.05940000003</v>
      </c>
      <c r="G6" s="13">
        <v>166714.19500000001</v>
      </c>
      <c r="H6" s="13">
        <v>233399.87299999999</v>
      </c>
      <c r="I6" s="35">
        <f t="shared" si="0"/>
        <v>666856.78</v>
      </c>
    </row>
    <row r="7" spans="1:9" s="17" customFormat="1">
      <c r="A7" s="16" t="s">
        <v>56</v>
      </c>
      <c r="B7" s="20" t="s">
        <v>43</v>
      </c>
      <c r="C7" s="5" t="s">
        <v>11</v>
      </c>
      <c r="D7" s="5" t="s">
        <v>12</v>
      </c>
      <c r="E7" s="14">
        <v>142085</v>
      </c>
      <c r="F7" s="14">
        <v>192232</v>
      </c>
      <c r="G7" s="14">
        <v>208949</v>
      </c>
      <c r="H7" s="14">
        <v>292528</v>
      </c>
      <c r="I7" s="35">
        <f t="shared" si="0"/>
        <v>835794</v>
      </c>
    </row>
    <row r="8" spans="1:9" s="17" customFormat="1">
      <c r="A8" s="16" t="s">
        <v>57</v>
      </c>
      <c r="B8" s="20" t="s">
        <v>58</v>
      </c>
      <c r="C8" s="5" t="s">
        <v>11</v>
      </c>
      <c r="D8" s="5" t="s">
        <v>27</v>
      </c>
      <c r="E8" s="13">
        <v>179765.15898058255</v>
      </c>
      <c r="F8" s="13">
        <v>243211.68567961169</v>
      </c>
      <c r="G8" s="13">
        <v>264360.52791262139</v>
      </c>
      <c r="H8" s="13">
        <v>370104.73907766992</v>
      </c>
      <c r="I8" s="35">
        <f t="shared" si="0"/>
        <v>1057442.1116504855</v>
      </c>
    </row>
    <row r="9" spans="1:9" s="17" customFormat="1">
      <c r="A9" s="16" t="s">
        <v>59</v>
      </c>
      <c r="B9" s="20" t="s">
        <v>60</v>
      </c>
      <c r="C9" s="16" t="s">
        <v>61</v>
      </c>
      <c r="D9" s="16" t="s">
        <v>62</v>
      </c>
      <c r="E9" s="19">
        <v>85000</v>
      </c>
      <c r="F9" s="19">
        <v>115000</v>
      </c>
      <c r="G9" s="19">
        <v>125000</v>
      </c>
      <c r="H9" s="19">
        <v>175000</v>
      </c>
      <c r="I9" s="35">
        <f t="shared" si="0"/>
        <v>500000</v>
      </c>
    </row>
    <row r="10" spans="1:9" s="17" customFormat="1">
      <c r="A10" s="16" t="s">
        <v>63</v>
      </c>
      <c r="B10" s="20" t="s">
        <v>64</v>
      </c>
      <c r="C10" s="16" t="s">
        <v>11</v>
      </c>
      <c r="D10" s="16" t="s">
        <v>12</v>
      </c>
      <c r="E10" s="19">
        <v>85000</v>
      </c>
      <c r="F10" s="19">
        <v>115000</v>
      </c>
      <c r="G10" s="19">
        <v>125000</v>
      </c>
      <c r="H10" s="19">
        <v>175000</v>
      </c>
      <c r="I10" s="35">
        <f t="shared" si="0"/>
        <v>500000</v>
      </c>
    </row>
    <row r="11" spans="1:9" s="17" customFormat="1">
      <c r="A11" s="16" t="s">
        <v>65</v>
      </c>
      <c r="B11" s="20" t="s">
        <v>66</v>
      </c>
      <c r="C11" s="16" t="s">
        <v>11</v>
      </c>
      <c r="D11" s="16" t="s">
        <v>12</v>
      </c>
      <c r="E11" s="19">
        <v>85000</v>
      </c>
      <c r="F11" s="19">
        <v>115000</v>
      </c>
      <c r="G11" s="19">
        <v>125000</v>
      </c>
      <c r="H11" s="19">
        <v>175000</v>
      </c>
      <c r="I11" s="35">
        <f t="shared" si="0"/>
        <v>500000</v>
      </c>
    </row>
    <row r="12" spans="1:9" s="17" customFormat="1">
      <c r="A12" s="16" t="s">
        <v>67</v>
      </c>
      <c r="B12" s="20" t="s">
        <v>68</v>
      </c>
      <c r="C12" s="16" t="s">
        <v>11</v>
      </c>
      <c r="D12" s="16" t="s">
        <v>27</v>
      </c>
      <c r="E12" s="13">
        <v>179765.15898058255</v>
      </c>
      <c r="F12" s="13">
        <v>243211.68567961169</v>
      </c>
      <c r="G12" s="13">
        <v>264360.52791262139</v>
      </c>
      <c r="H12" s="13">
        <v>370104.73907766992</v>
      </c>
      <c r="I12" s="35">
        <f t="shared" si="0"/>
        <v>1057442.1116504855</v>
      </c>
    </row>
    <row r="13" spans="1:9" s="17" customFormat="1">
      <c r="A13" s="16" t="s">
        <v>69</v>
      </c>
      <c r="B13" s="20" t="s">
        <v>70</v>
      </c>
      <c r="C13" s="16" t="s">
        <v>11</v>
      </c>
      <c r="D13" s="16" t="s">
        <v>27</v>
      </c>
      <c r="E13" s="18">
        <v>377230</v>
      </c>
      <c r="F13" s="18">
        <v>503930</v>
      </c>
      <c r="G13" s="18">
        <v>547750</v>
      </c>
      <c r="H13" s="18">
        <v>766850</v>
      </c>
      <c r="I13" s="35">
        <f t="shared" si="0"/>
        <v>2195760</v>
      </c>
    </row>
    <row r="14" spans="1:9" s="17" customFormat="1">
      <c r="A14" s="16" t="s">
        <v>71</v>
      </c>
      <c r="B14" s="20" t="s">
        <v>72</v>
      </c>
      <c r="C14" s="16" t="s">
        <v>11</v>
      </c>
      <c r="D14" s="16" t="s">
        <v>12</v>
      </c>
      <c r="E14" s="13">
        <v>179765.15898058255</v>
      </c>
      <c r="F14" s="13">
        <v>243211.68567961169</v>
      </c>
      <c r="G14" s="13">
        <v>264360.52791262139</v>
      </c>
      <c r="H14" s="13">
        <v>370104.73907766992</v>
      </c>
      <c r="I14" s="35">
        <f t="shared" si="0"/>
        <v>1057442.1116504855</v>
      </c>
    </row>
    <row r="15" spans="1:9" s="17" customFormat="1">
      <c r="A15" s="16" t="s">
        <v>73</v>
      </c>
      <c r="B15" s="31" t="s">
        <v>74</v>
      </c>
      <c r="C15" s="16" t="s">
        <v>11</v>
      </c>
      <c r="D15" s="16" t="s">
        <v>12</v>
      </c>
      <c r="E15" s="29">
        <v>87554</v>
      </c>
      <c r="F15" s="29">
        <v>118455</v>
      </c>
      <c r="G15" s="29">
        <v>128756</v>
      </c>
      <c r="H15" s="29">
        <v>180258</v>
      </c>
      <c r="I15" s="35">
        <f>SUM(E15:H15)</f>
        <v>515023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D551CAA-E77F-47B0-BDE7-7D7B188B1AED}">
          <x14:formula1>
            <xm:f>'Options for KPI UT Levels'!$B$2:$B$47</xm:f>
          </x14:formula1>
          <xm:sqref>D3:D15</xm:sqref>
        </x14:dataValidation>
        <x14:dataValidation type="list" allowBlank="1" showInputMessage="1" showErrorMessage="1" xr:uid="{C51EAD77-DD00-484F-8898-562B731F0542}">
          <x14:formula1>
            <xm:f>'Options for KPI UT Levels'!$A$2:$A$47</xm:f>
          </x14:formula1>
          <xm:sqref>H1 C3:C15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BFB7-103F-4C98-9C60-8B90ACA3D74C}">
  <sheetPr>
    <tabColor rgb="FF00B0F0"/>
  </sheetPr>
  <dimension ref="A1:J14"/>
  <sheetViews>
    <sheetView topLeftCell="A2" workbookViewId="0">
      <selection activeCell="B5" sqref="B5"/>
    </sheetView>
  </sheetViews>
  <sheetFormatPr defaultRowHeight="15.75"/>
  <cols>
    <col min="1" max="1" width="44.25" customWidth="1"/>
    <col min="2" max="2" width="16.875" customWidth="1"/>
    <col min="3" max="3" width="12.625" customWidth="1"/>
    <col min="4" max="4" width="13" customWidth="1"/>
    <col min="5" max="5" width="11.875" customWidth="1"/>
    <col min="6" max="6" width="13.375" customWidth="1"/>
    <col min="7" max="7" width="12.375" customWidth="1"/>
    <col min="8" max="8" width="13.25" customWidth="1"/>
    <col min="9" max="9" width="11.375" customWidth="1"/>
  </cols>
  <sheetData>
    <row r="1" spans="1:10" ht="21">
      <c r="A1" s="6" t="s">
        <v>75</v>
      </c>
      <c r="B1" s="6"/>
      <c r="C1" s="6"/>
      <c r="D1" s="6"/>
      <c r="E1" s="6"/>
      <c r="F1" s="6"/>
      <c r="G1" s="6"/>
      <c r="H1" s="6"/>
      <c r="I1" s="6"/>
    </row>
    <row r="2" spans="1:10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45</v>
      </c>
    </row>
    <row r="3" spans="1:10">
      <c r="A3" s="23" t="s">
        <v>76</v>
      </c>
      <c r="B3" t="s">
        <v>77</v>
      </c>
      <c r="C3" s="5" t="s">
        <v>11</v>
      </c>
      <c r="D3" s="5" t="s">
        <v>27</v>
      </c>
      <c r="E3" s="13">
        <v>113365.65260000002</v>
      </c>
      <c r="F3" s="13">
        <v>153377.05940000003</v>
      </c>
      <c r="G3" s="13">
        <v>166714.19500000001</v>
      </c>
      <c r="H3" s="13">
        <v>233399.87299999999</v>
      </c>
      <c r="I3" s="22">
        <f>SUM(E3:H3)</f>
        <v>666856.78</v>
      </c>
    </row>
    <row r="4" spans="1:10">
      <c r="A4" s="23" t="s">
        <v>78</v>
      </c>
      <c r="B4" t="s">
        <v>79</v>
      </c>
      <c r="C4" s="5" t="s">
        <v>11</v>
      </c>
      <c r="D4" s="5" t="s">
        <v>12</v>
      </c>
      <c r="E4" s="13">
        <v>113365.65260000002</v>
      </c>
      <c r="F4" s="13">
        <v>153377.05940000003</v>
      </c>
      <c r="G4" s="13">
        <v>166714.19500000001</v>
      </c>
      <c r="H4" s="13">
        <v>233399.87299999999</v>
      </c>
      <c r="I4" s="21">
        <f>SUM(I3:I3)</f>
        <v>666856.78</v>
      </c>
    </row>
    <row r="5" spans="1:10">
      <c r="A5" s="23" t="s">
        <v>80</v>
      </c>
      <c r="B5" t="s">
        <v>81</v>
      </c>
      <c r="C5" s="5" t="s">
        <v>11</v>
      </c>
      <c r="D5" s="5" t="s">
        <v>12</v>
      </c>
      <c r="E5" s="13">
        <v>179765.15898058255</v>
      </c>
      <c r="F5" s="13">
        <v>243211.68567961169</v>
      </c>
      <c r="G5" s="13">
        <v>264360.52791262139</v>
      </c>
      <c r="H5" s="13">
        <v>370104.73907766992</v>
      </c>
      <c r="I5" s="22">
        <f>SUM(E5:H5)</f>
        <v>1057442.1116504855</v>
      </c>
    </row>
    <row r="6" spans="1:10">
      <c r="A6" s="23" t="s">
        <v>82</v>
      </c>
      <c r="B6" t="s">
        <v>83</v>
      </c>
      <c r="C6" s="5" t="s">
        <v>11</v>
      </c>
      <c r="D6" s="5" t="s">
        <v>12</v>
      </c>
      <c r="E6" s="13">
        <v>113365.65260000002</v>
      </c>
      <c r="F6" s="13">
        <v>153377.05940000003</v>
      </c>
      <c r="G6" s="13">
        <v>166714.19500000001</v>
      </c>
      <c r="H6" s="13">
        <v>233399.87299999999</v>
      </c>
      <c r="I6" s="22">
        <f>SUM(E6:H6)</f>
        <v>666856.78</v>
      </c>
    </row>
    <row r="7" spans="1:10">
      <c r="A7" s="23" t="s">
        <v>84</v>
      </c>
      <c r="B7" t="s">
        <v>85</v>
      </c>
      <c r="C7" s="5" t="s">
        <v>11</v>
      </c>
      <c r="D7" s="5" t="s">
        <v>27</v>
      </c>
      <c r="E7" s="13">
        <v>179765.15898058255</v>
      </c>
      <c r="F7" s="13">
        <v>243211.68567961169</v>
      </c>
      <c r="G7" s="13">
        <v>264360.52791262139</v>
      </c>
      <c r="H7" s="13">
        <v>370104.73907766992</v>
      </c>
      <c r="I7" s="21">
        <f>AVERAGE(I3:I6)</f>
        <v>764503.11291262135</v>
      </c>
    </row>
    <row r="8" spans="1:10">
      <c r="A8" s="23" t="s">
        <v>86</v>
      </c>
      <c r="B8" t="s">
        <v>87</v>
      </c>
      <c r="C8" s="5" t="s">
        <v>11</v>
      </c>
      <c r="D8" s="5" t="s">
        <v>12</v>
      </c>
      <c r="E8" s="5">
        <v>85000</v>
      </c>
      <c r="F8" s="5">
        <v>115000</v>
      </c>
      <c r="G8" s="5">
        <v>125000</v>
      </c>
      <c r="H8" s="5">
        <v>175000</v>
      </c>
      <c r="I8" s="21">
        <f>SUM(I7)</f>
        <v>764503.11291262135</v>
      </c>
    </row>
    <row r="9" spans="1:10">
      <c r="A9" s="23" t="s">
        <v>88</v>
      </c>
      <c r="B9" t="s">
        <v>89</v>
      </c>
      <c r="C9" t="s">
        <v>11</v>
      </c>
      <c r="D9" t="s">
        <v>12</v>
      </c>
      <c r="E9" s="14">
        <v>142085</v>
      </c>
      <c r="F9" s="14">
        <v>192232</v>
      </c>
      <c r="G9" s="14">
        <v>208949</v>
      </c>
      <c r="H9" s="14">
        <v>292528</v>
      </c>
      <c r="I9" s="21">
        <f>SUM(E9:H9)</f>
        <v>835794</v>
      </c>
    </row>
    <row r="14" spans="1:10" s="25" customFormat="1">
      <c r="A14" s="24" t="s">
        <v>90</v>
      </c>
      <c r="B14" s="25" t="s">
        <v>89</v>
      </c>
      <c r="C14" s="26" t="s">
        <v>11</v>
      </c>
      <c r="D14" s="26" t="s">
        <v>27</v>
      </c>
      <c r="E14" s="27">
        <v>142085</v>
      </c>
      <c r="F14" s="27">
        <v>192232</v>
      </c>
      <c r="G14" s="27">
        <v>208949</v>
      </c>
      <c r="H14" s="27">
        <v>292528</v>
      </c>
      <c r="I14" s="28">
        <f>SUM(E14:H14)</f>
        <v>835794</v>
      </c>
      <c r="J14" s="25" t="s">
        <v>91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795112B-9E69-4B1B-B076-AAA6091CB5FB}">
          <x14:formula1>
            <xm:f>'Options for KPI UT Levels'!$A$2:$A$47</xm:f>
          </x14:formula1>
          <xm:sqref>H1 C14 C3:C8</xm:sqref>
        </x14:dataValidation>
        <x14:dataValidation type="list" allowBlank="1" showInputMessage="1" showErrorMessage="1" xr:uid="{417B9FA4-7F98-487F-9950-E41548FFB8A0}">
          <x14:formula1>
            <xm:f>'Options for KPI UT Levels'!$B$2:$B$47</xm:f>
          </x14:formula1>
          <xm:sqref>D3:D8 D14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5964-A964-0541-B96E-E86F780712DE}">
  <dimension ref="A1:B47"/>
  <sheetViews>
    <sheetView zoomScaleNormal="100" workbookViewId="0"/>
  </sheetViews>
  <sheetFormatPr defaultColWidth="10.625" defaultRowHeight="22.35" customHeight="1"/>
  <cols>
    <col min="1" max="1" width="33.5" style="4" bestFit="1" customWidth="1"/>
    <col min="2" max="2" width="47.625" style="2" bestFit="1" customWidth="1"/>
    <col min="3" max="16384" width="10.625" style="2"/>
  </cols>
  <sheetData>
    <row r="1" spans="1:2" ht="22.35" customHeight="1">
      <c r="A1" s="1" t="s">
        <v>3</v>
      </c>
      <c r="B1" s="1" t="s">
        <v>4</v>
      </c>
    </row>
    <row r="2" spans="1:2" ht="22.35" customHeight="1">
      <c r="A2" s="32" t="s">
        <v>61</v>
      </c>
      <c r="B2" s="2" t="s">
        <v>92</v>
      </c>
    </row>
    <row r="3" spans="1:2" ht="22.35" customHeight="1">
      <c r="A3" s="32"/>
      <c r="B3" s="2" t="s">
        <v>93</v>
      </c>
    </row>
    <row r="4" spans="1:2" ht="22.35" customHeight="1">
      <c r="A4" s="32"/>
      <c r="B4" s="2" t="s">
        <v>33</v>
      </c>
    </row>
    <row r="5" spans="1:2" ht="22.35" customHeight="1">
      <c r="A5" s="33"/>
      <c r="B5" s="3" t="s">
        <v>94</v>
      </c>
    </row>
    <row r="6" spans="1:2" ht="22.35" customHeight="1">
      <c r="A6" s="32" t="s">
        <v>11</v>
      </c>
      <c r="B6" s="2" t="s">
        <v>27</v>
      </c>
    </row>
    <row r="7" spans="1:2" ht="22.35" customHeight="1">
      <c r="A7" s="32"/>
      <c r="B7" s="2" t="s">
        <v>95</v>
      </c>
    </row>
    <row r="8" spans="1:2" ht="22.35" customHeight="1">
      <c r="A8" s="33"/>
      <c r="B8" s="3" t="s">
        <v>12</v>
      </c>
    </row>
    <row r="9" spans="1:2" ht="22.35" customHeight="1">
      <c r="A9" s="32" t="s">
        <v>96</v>
      </c>
      <c r="B9" s="2" t="s">
        <v>97</v>
      </c>
    </row>
    <row r="10" spans="1:2" ht="22.35" customHeight="1">
      <c r="A10" s="32"/>
      <c r="B10" s="2" t="s">
        <v>98</v>
      </c>
    </row>
    <row r="11" spans="1:2" ht="22.35" customHeight="1">
      <c r="A11" s="33"/>
      <c r="B11" s="3" t="s">
        <v>62</v>
      </c>
    </row>
    <row r="12" spans="1:2" ht="22.35" customHeight="1">
      <c r="A12" s="32" t="s">
        <v>99</v>
      </c>
      <c r="B12" s="2" t="s">
        <v>100</v>
      </c>
    </row>
    <row r="13" spans="1:2" ht="22.35" customHeight="1">
      <c r="A13" s="32"/>
      <c r="B13" s="2" t="s">
        <v>101</v>
      </c>
    </row>
    <row r="14" spans="1:2" ht="22.35" customHeight="1">
      <c r="A14" s="33"/>
      <c r="B14" s="3" t="s">
        <v>102</v>
      </c>
    </row>
    <row r="15" spans="1:2" ht="22.35" customHeight="1">
      <c r="A15" s="30" t="s">
        <v>103</v>
      </c>
      <c r="B15" s="3" t="s">
        <v>104</v>
      </c>
    </row>
    <row r="16" spans="1:2" ht="22.35" customHeight="1">
      <c r="A16" s="32" t="s">
        <v>105</v>
      </c>
      <c r="B16" s="2" t="s">
        <v>106</v>
      </c>
    </row>
    <row r="17" spans="1:2" ht="22.35" customHeight="1">
      <c r="A17" s="32"/>
      <c r="B17" s="2" t="s">
        <v>107</v>
      </c>
    </row>
    <row r="18" spans="1:2" ht="22.35" customHeight="1">
      <c r="A18" s="32"/>
      <c r="B18" s="2" t="s">
        <v>108</v>
      </c>
    </row>
    <row r="19" spans="1:2" ht="22.35" customHeight="1">
      <c r="A19" s="33"/>
      <c r="B19" s="3" t="s">
        <v>109</v>
      </c>
    </row>
    <row r="20" spans="1:2" ht="22.35" customHeight="1">
      <c r="A20" s="30" t="s">
        <v>110</v>
      </c>
      <c r="B20" s="3" t="s">
        <v>111</v>
      </c>
    </row>
    <row r="21" spans="1:2" ht="22.35" customHeight="1">
      <c r="A21" s="32" t="s">
        <v>48</v>
      </c>
      <c r="B21" s="2" t="s">
        <v>112</v>
      </c>
    </row>
    <row r="22" spans="1:2" ht="22.35" customHeight="1">
      <c r="A22" s="32"/>
      <c r="B22" s="2" t="s">
        <v>113</v>
      </c>
    </row>
    <row r="23" spans="1:2" ht="22.35" customHeight="1">
      <c r="A23" s="33"/>
      <c r="B23" s="3" t="s">
        <v>49</v>
      </c>
    </row>
    <row r="24" spans="1:2" ht="22.35" customHeight="1">
      <c r="A24" s="32" t="s">
        <v>32</v>
      </c>
      <c r="B24" s="2" t="s">
        <v>114</v>
      </c>
    </row>
    <row r="25" spans="1:2" ht="22.35" customHeight="1">
      <c r="A25" s="32"/>
      <c r="B25" s="2" t="s">
        <v>115</v>
      </c>
    </row>
    <row r="26" spans="1:2" ht="22.35" customHeight="1">
      <c r="A26" s="32"/>
      <c r="B26" s="2" t="s">
        <v>116</v>
      </c>
    </row>
    <row r="27" spans="1:2" ht="22.35" customHeight="1">
      <c r="A27" s="32"/>
      <c r="B27" s="2" t="s">
        <v>117</v>
      </c>
    </row>
    <row r="28" spans="1:2" ht="22.35" customHeight="1">
      <c r="A28" s="32"/>
      <c r="B28" s="2" t="s">
        <v>118</v>
      </c>
    </row>
    <row r="29" spans="1:2" ht="22.35" customHeight="1">
      <c r="A29" s="32"/>
      <c r="B29" s="2" t="s">
        <v>119</v>
      </c>
    </row>
    <row r="30" spans="1:2" ht="22.35" customHeight="1">
      <c r="A30" s="32"/>
      <c r="B30" s="2" t="s">
        <v>120</v>
      </c>
    </row>
    <row r="31" spans="1:2" ht="22.35" customHeight="1">
      <c r="A31" s="33"/>
      <c r="B31" s="3" t="s">
        <v>121</v>
      </c>
    </row>
    <row r="32" spans="1:2" ht="22.35" customHeight="1">
      <c r="A32" s="32" t="s">
        <v>122</v>
      </c>
      <c r="B32" s="2" t="s">
        <v>123</v>
      </c>
    </row>
    <row r="33" spans="1:2" ht="22.35" customHeight="1">
      <c r="A33" s="32"/>
      <c r="B33" s="2" t="s">
        <v>124</v>
      </c>
    </row>
    <row r="34" spans="1:2" ht="22.35" customHeight="1">
      <c r="A34" s="32"/>
      <c r="B34" s="2" t="s">
        <v>125</v>
      </c>
    </row>
    <row r="35" spans="1:2" ht="22.35" customHeight="1">
      <c r="A35" s="32"/>
      <c r="B35" s="2" t="s">
        <v>126</v>
      </c>
    </row>
    <row r="36" spans="1:2" ht="22.35" customHeight="1">
      <c r="A36" s="32"/>
      <c r="B36" s="2" t="s">
        <v>127</v>
      </c>
    </row>
    <row r="37" spans="1:2" ht="22.35" customHeight="1">
      <c r="A37" s="32"/>
      <c r="B37" s="2" t="s">
        <v>128</v>
      </c>
    </row>
    <row r="38" spans="1:2" ht="22.35" customHeight="1">
      <c r="A38" s="32"/>
      <c r="B38" s="2" t="s">
        <v>129</v>
      </c>
    </row>
    <row r="39" spans="1:2" ht="22.35" customHeight="1">
      <c r="A39" s="33"/>
      <c r="B39" s="3" t="s">
        <v>130</v>
      </c>
    </row>
    <row r="40" spans="1:2" ht="22.35" customHeight="1">
      <c r="A40" s="30" t="s">
        <v>131</v>
      </c>
      <c r="B40" s="3" t="s">
        <v>132</v>
      </c>
    </row>
    <row r="41" spans="1:2" ht="22.35" customHeight="1">
      <c r="A41" s="32" t="s">
        <v>133</v>
      </c>
      <c r="B41" s="2" t="s">
        <v>134</v>
      </c>
    </row>
    <row r="42" spans="1:2" ht="22.35" customHeight="1">
      <c r="A42" s="33"/>
      <c r="B42" s="3" t="s">
        <v>135</v>
      </c>
    </row>
    <row r="43" spans="1:2" ht="22.35" customHeight="1">
      <c r="A43" s="32" t="s">
        <v>136</v>
      </c>
      <c r="B43" s="2" t="s">
        <v>137</v>
      </c>
    </row>
    <row r="44" spans="1:2" ht="22.35" customHeight="1">
      <c r="A44" s="33"/>
      <c r="B44" s="3" t="s">
        <v>138</v>
      </c>
    </row>
    <row r="45" spans="1:2" ht="22.35" customHeight="1">
      <c r="A45" s="32" t="s">
        <v>139</v>
      </c>
      <c r="B45" s="2" t="s">
        <v>140</v>
      </c>
    </row>
    <row r="46" spans="1:2" ht="22.35" customHeight="1">
      <c r="A46" s="32"/>
      <c r="B46" s="2" t="s">
        <v>141</v>
      </c>
    </row>
    <row r="47" spans="1:2" ht="22.35" customHeight="1">
      <c r="A47" s="33"/>
      <c r="B47" s="3" t="s">
        <v>142</v>
      </c>
    </row>
  </sheetData>
  <mergeCells count="11">
    <mergeCell ref="A24:A31"/>
    <mergeCell ref="A32:A39"/>
    <mergeCell ref="A41:A42"/>
    <mergeCell ref="A43:A44"/>
    <mergeCell ref="A45:A47"/>
    <mergeCell ref="A21:A23"/>
    <mergeCell ref="A2:A5"/>
    <mergeCell ref="A6:A8"/>
    <mergeCell ref="A9:A11"/>
    <mergeCell ref="A12:A14"/>
    <mergeCell ref="A16:A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4621-F791-44F9-897F-0622B3EC471B}">
  <dimension ref="A1:E5"/>
  <sheetViews>
    <sheetView workbookViewId="0">
      <selection activeCell="D7" sqref="D7"/>
    </sheetView>
  </sheetViews>
  <sheetFormatPr defaultColWidth="8.875" defaultRowHeight="15.95"/>
  <cols>
    <col min="1" max="1" width="24.875" customWidth="1"/>
  </cols>
  <sheetData>
    <row r="1" spans="1:5">
      <c r="A1" s="8"/>
      <c r="B1" s="34" t="s">
        <v>143</v>
      </c>
      <c r="C1" s="34"/>
      <c r="D1" s="34"/>
      <c r="E1" s="34"/>
    </row>
    <row r="2" spans="1:5">
      <c r="A2" s="9"/>
      <c r="B2" s="10" t="s">
        <v>5</v>
      </c>
      <c r="C2" s="10" t="s">
        <v>144</v>
      </c>
      <c r="D2" s="10" t="s">
        <v>7</v>
      </c>
      <c r="E2" s="10" t="s">
        <v>8</v>
      </c>
    </row>
    <row r="3" spans="1:5">
      <c r="A3" s="11" t="s">
        <v>145</v>
      </c>
      <c r="B3" s="12">
        <v>0.17</v>
      </c>
      <c r="C3" s="12">
        <v>0.23</v>
      </c>
      <c r="D3" s="12">
        <v>0.25</v>
      </c>
      <c r="E3" s="12">
        <v>0.35</v>
      </c>
    </row>
    <row r="4" spans="1:5">
      <c r="A4" s="11" t="s">
        <v>146</v>
      </c>
      <c r="B4" s="12">
        <v>0.1</v>
      </c>
      <c r="C4" s="12">
        <v>0.21</v>
      </c>
      <c r="D4" s="12">
        <v>0.3</v>
      </c>
      <c r="E4" s="12">
        <v>0.39</v>
      </c>
    </row>
    <row r="5" spans="1:5">
      <c r="A5" s="11" t="s">
        <v>147</v>
      </c>
      <c r="B5" s="12">
        <v>0.05</v>
      </c>
      <c r="C5" s="12">
        <v>0.15</v>
      </c>
      <c r="D5" s="12">
        <v>0.2</v>
      </c>
      <c r="E5" s="12">
        <v>0.6</v>
      </c>
    </row>
  </sheetData>
  <mergeCells count="1">
    <mergeCell ref="B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0232e1f-123a-43d1-921b-7c05729cf17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4C29C17E9AEA4CB48B504ECDD326F6" ma:contentTypeVersion="13" ma:contentTypeDescription="Create a new document." ma:contentTypeScope="" ma:versionID="bbcee55541c60a67ae91fde6cd5b9535">
  <xsd:schema xmlns:xsd="http://www.w3.org/2001/XMLSchema" xmlns:xs="http://www.w3.org/2001/XMLSchema" xmlns:p="http://schemas.microsoft.com/office/2006/metadata/properties" xmlns:ns3="e0232e1f-123a-43d1-921b-7c05729cf17c" targetNamespace="http://schemas.microsoft.com/office/2006/metadata/properties" ma:root="true" ma:fieldsID="a4621de01236b0f54131317d0d7f10a2" ns3:_="">
    <xsd:import namespace="e0232e1f-123a-43d1-921b-7c05729cf1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32e1f-123a-43d1-921b-7c05729cf1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308CB8-6F41-47A1-A7FA-F6896EEA67B8}"/>
</file>

<file path=customXml/itemProps2.xml><?xml version="1.0" encoding="utf-8"?>
<ds:datastoreItem xmlns:ds="http://schemas.openxmlformats.org/officeDocument/2006/customXml" ds:itemID="{7D8C4767-4D22-45B1-BCBF-E6BA997C4D9A}"/>
</file>

<file path=customXml/itemProps3.xml><?xml version="1.0" encoding="utf-8"?>
<ds:datastoreItem xmlns:ds="http://schemas.openxmlformats.org/officeDocument/2006/customXml" ds:itemID="{72985BAC-01DD-4D79-81D2-7D306B72EA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ERK</dc:creator>
  <cp:keywords/>
  <dc:description/>
  <cp:lastModifiedBy>Jen Martinson</cp:lastModifiedBy>
  <cp:revision/>
  <dcterms:created xsi:type="dcterms:W3CDTF">2026-02-19T16:21:33Z</dcterms:created>
  <dcterms:modified xsi:type="dcterms:W3CDTF">2026-07-28T10:27:46Z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0x010100F94C29C17E9AEA4CB48B504ECDD326F6</vt:lpwstr>
  </property>
</Properties>
</file>